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Pictures\Projet_Portfolio\excel\"/>
    </mc:Choice>
  </mc:AlternateContent>
  <xr:revisionPtr revIDLastSave="0" documentId="8_{C05DD4F9-4864-4947-921C-A2682AA229F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Base_Produits" sheetId="1" r:id="rId1"/>
    <sheet name="1-RECHERCHE" sheetId="2" r:id="rId2"/>
    <sheet name="2-RECHERCHEV" sheetId="3" r:id="rId3"/>
    <sheet name="3-RECHERCHEH" sheetId="4" r:id="rId4"/>
    <sheet name="4-RECHERCHEX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4" l="1"/>
  <c r="C19" i="4"/>
  <c r="C18" i="4"/>
  <c r="C17" i="4"/>
  <c r="C16" i="4"/>
  <c r="C15" i="4"/>
  <c r="C14" i="3"/>
  <c r="C18" i="5"/>
  <c r="C17" i="5"/>
  <c r="C16" i="5"/>
  <c r="C15" i="5"/>
  <c r="C14" i="5"/>
  <c r="C13" i="5"/>
  <c r="C12" i="5"/>
  <c r="C11" i="5"/>
  <c r="C21" i="3"/>
  <c r="C20" i="3"/>
  <c r="C19" i="3"/>
  <c r="C18" i="3"/>
  <c r="C17" i="3"/>
  <c r="C16" i="3"/>
  <c r="C15" i="3"/>
  <c r="C13" i="3"/>
  <c r="C12" i="3"/>
  <c r="C14" i="2"/>
  <c r="C20" i="2"/>
  <c r="C19" i="2"/>
  <c r="C18" i="2"/>
  <c r="C17" i="2"/>
  <c r="C16" i="2"/>
  <c r="C15" i="2"/>
  <c r="C13" i="2"/>
  <c r="C12" i="2"/>
  <c r="C11" i="2"/>
</calcChain>
</file>

<file path=xl/sharedStrings.xml><?xml version="1.0" encoding="utf-8"?>
<sst xmlns="http://schemas.openxmlformats.org/spreadsheetml/2006/main" count="757" uniqueCount="452">
  <si>
    <t>BASE DE DONNÉES — CATALOGUE PRODUITS</t>
  </si>
  <si>
    <t>Cette table sert de base pour tous les exercices. Les données sont triées par Code (A→Z), indispensable pour la fonction RECHERCHE.</t>
  </si>
  <si>
    <t>Code</t>
  </si>
  <si>
    <t>Produit</t>
  </si>
  <si>
    <t>Catégorie</t>
  </si>
  <si>
    <t>Prix (€)</t>
  </si>
  <si>
    <t>Stock</t>
  </si>
  <si>
    <t>PRD001</t>
  </si>
  <si>
    <t>Ordinateur Portable HP</t>
  </si>
  <si>
    <t>Informatique</t>
  </si>
  <si>
    <t>PRD002</t>
  </si>
  <si>
    <t>Souris Sans Fil Logitech</t>
  </si>
  <si>
    <t>PRD003</t>
  </si>
  <si>
    <t>Clavier Mécanique</t>
  </si>
  <si>
    <t>PRD004</t>
  </si>
  <si>
    <t>Écran 24 pouces</t>
  </si>
  <si>
    <t>PRD005</t>
  </si>
  <si>
    <t>Casque Audio Bluetooth</t>
  </si>
  <si>
    <t>Audio</t>
  </si>
  <si>
    <t>PRD006</t>
  </si>
  <si>
    <t>Chaise de Bureau</t>
  </si>
  <si>
    <t>Mobilier</t>
  </si>
  <si>
    <t>PRD007</t>
  </si>
  <si>
    <t>Bureau Réglable</t>
  </si>
  <si>
    <t>PRD008</t>
  </si>
  <si>
    <t>Lampe de Bureau LED</t>
  </si>
  <si>
    <t>PRD009</t>
  </si>
  <si>
    <t>Étagère Murale</t>
  </si>
  <si>
    <t>PRD010</t>
  </si>
  <si>
    <t>Classeur A4</t>
  </si>
  <si>
    <t>Papeterie</t>
  </si>
  <si>
    <t>PRD011</t>
  </si>
  <si>
    <t>Stylo Bille (Boîte de 10)</t>
  </si>
  <si>
    <t>PRD012</t>
  </si>
  <si>
    <t>Cahier 200 pages</t>
  </si>
  <si>
    <t>PRD013</t>
  </si>
  <si>
    <t>Agenda Annuel</t>
  </si>
  <si>
    <t>PRD014</t>
  </si>
  <si>
    <t>Imprimante Laser</t>
  </si>
  <si>
    <t>PRD015</t>
  </si>
  <si>
    <t>Disque Dur Externe 1To</t>
  </si>
  <si>
    <t>PRD016</t>
  </si>
  <si>
    <t>Micro-ondes</t>
  </si>
  <si>
    <t>Électroménager</t>
  </si>
  <si>
    <t>PRD017</t>
  </si>
  <si>
    <t>Bouilloire Électrique</t>
  </si>
  <si>
    <t>PRD018</t>
  </si>
  <si>
    <t>Ventilateur de Bureau</t>
  </si>
  <si>
    <t>PRD019</t>
  </si>
  <si>
    <t>Cafetière</t>
  </si>
  <si>
    <t>PRD020</t>
  </si>
  <si>
    <t>Grille-pain</t>
  </si>
  <si>
    <t>PRD021</t>
  </si>
  <si>
    <t>Tablette Android</t>
  </si>
  <si>
    <t>PRD022</t>
  </si>
  <si>
    <t>Smartphone Galaxy</t>
  </si>
  <si>
    <t>PRD023</t>
  </si>
  <si>
    <t>Chargeur USB-C</t>
  </si>
  <si>
    <t>PRD024</t>
  </si>
  <si>
    <t>Câble HDMI</t>
  </si>
  <si>
    <t>PRD025</t>
  </si>
  <si>
    <t>Webcam HD</t>
  </si>
  <si>
    <t>PRD026</t>
  </si>
  <si>
    <t>Microphone USB</t>
  </si>
  <si>
    <t>Téléphonie</t>
  </si>
  <si>
    <t>PRD027</t>
  </si>
  <si>
    <t>Enceinte Bluetooth</t>
  </si>
  <si>
    <t>Réseau</t>
  </si>
  <si>
    <t>PRD028</t>
  </si>
  <si>
    <t>Disque SSD 500Go</t>
  </si>
  <si>
    <t>Accessoires</t>
  </si>
  <si>
    <t>PRD029</t>
  </si>
  <si>
    <t>Clé USB 64Go</t>
  </si>
  <si>
    <t>Électronique</t>
  </si>
  <si>
    <t>PRD030</t>
  </si>
  <si>
    <t>Routeur Wi-Fi</t>
  </si>
  <si>
    <t>Commerce</t>
  </si>
  <si>
    <t>PRD031</t>
  </si>
  <si>
    <t>Powerbank 20000mAh</t>
  </si>
  <si>
    <t>PRD032</t>
  </si>
  <si>
    <t>Montre Connectée</t>
  </si>
  <si>
    <t>PRD033</t>
  </si>
  <si>
    <t>Projecteur HD</t>
  </si>
  <si>
    <t>PRD034</t>
  </si>
  <si>
    <t>Scanner A4</t>
  </si>
  <si>
    <t>PRD035</t>
  </si>
  <si>
    <t>Téléviseur LED 43</t>
  </si>
  <si>
    <t>PRD036</t>
  </si>
  <si>
    <t>Appareil Photo Numérique</t>
  </si>
  <si>
    <t>PRD037</t>
  </si>
  <si>
    <t>Trépied Aluminium</t>
  </si>
  <si>
    <t>PRD038</t>
  </si>
  <si>
    <t>Lampe Ring Light</t>
  </si>
  <si>
    <t>PRD039</t>
  </si>
  <si>
    <t>Multiprise 6 Prises</t>
  </si>
  <si>
    <t>PRD040</t>
  </si>
  <si>
    <t>Onduleur 650VA</t>
  </si>
  <si>
    <t>PRD041</t>
  </si>
  <si>
    <t>Machine à Plastifier</t>
  </si>
  <si>
    <t>PRD042</t>
  </si>
  <si>
    <t>Destructeur de Documents</t>
  </si>
  <si>
    <t>PRD043</t>
  </si>
  <si>
    <t>Calculatrice Scientifique</t>
  </si>
  <si>
    <t>PRD044</t>
  </si>
  <si>
    <t>Ramette Papier A4</t>
  </si>
  <si>
    <t>PRD045</t>
  </si>
  <si>
    <t>Pochette Plastique</t>
  </si>
  <si>
    <t>PRD046</t>
  </si>
  <si>
    <t>Marqueur Permanent</t>
  </si>
  <si>
    <t>PRD047</t>
  </si>
  <si>
    <t>Surligneur</t>
  </si>
  <si>
    <t>PRD048</t>
  </si>
  <si>
    <t>Post-it</t>
  </si>
  <si>
    <t>PRD049</t>
  </si>
  <si>
    <t>Taille-crayon Électrique</t>
  </si>
  <si>
    <t>PRD050</t>
  </si>
  <si>
    <t>Agrafeuse de Bureau</t>
  </si>
  <si>
    <t>PRD051</t>
  </si>
  <si>
    <t>Perforateur 2 Trous</t>
  </si>
  <si>
    <t>PRD052</t>
  </si>
  <si>
    <t>Chemise Cartonnée</t>
  </si>
  <si>
    <t>PRD053</t>
  </si>
  <si>
    <t>Boîte d'Archives</t>
  </si>
  <si>
    <t>PRD054</t>
  </si>
  <si>
    <t>Enveloppes A4</t>
  </si>
  <si>
    <t>PRD055</t>
  </si>
  <si>
    <t>Étiquettes Adhésives</t>
  </si>
  <si>
    <t>PRD056</t>
  </si>
  <si>
    <t>Tableau Blanc</t>
  </si>
  <si>
    <t>PRD057</t>
  </si>
  <si>
    <t>Feutres Tableau Blanc</t>
  </si>
  <si>
    <t>PRD058</t>
  </si>
  <si>
    <t>Correcteur Liquide</t>
  </si>
  <si>
    <t>PRD059</t>
  </si>
  <si>
    <t>Colle en Bâton</t>
  </si>
  <si>
    <t>PRD060</t>
  </si>
  <si>
    <t>Ciseaux de Bureau</t>
  </si>
  <si>
    <t>PRD061</t>
  </si>
  <si>
    <t>Casque Microphone</t>
  </si>
  <si>
    <t>PRD062</t>
  </si>
  <si>
    <t>Carte Mémoire 128Go</t>
  </si>
  <si>
    <t>PRD063</t>
  </si>
  <si>
    <t>Lecteur Carte Mémoire</t>
  </si>
  <si>
    <t>PRD064</t>
  </si>
  <si>
    <t>Adaptateur USB-C</t>
  </si>
  <si>
    <t>PRD065</t>
  </si>
  <si>
    <t>Hub USB 4 Ports</t>
  </si>
  <si>
    <t>PRD066</t>
  </si>
  <si>
    <t>Support Ordinateur</t>
  </si>
  <si>
    <t>PRD067</t>
  </si>
  <si>
    <t>Support Téléphone</t>
  </si>
  <si>
    <t>PRD068</t>
  </si>
  <si>
    <t>Ventilateur USB</t>
  </si>
  <si>
    <t>PRD069</t>
  </si>
  <si>
    <t>Lampe Rechargeable</t>
  </si>
  <si>
    <t>PRD070</t>
  </si>
  <si>
    <t>Batterie Externe</t>
  </si>
  <si>
    <t>PRD071</t>
  </si>
  <si>
    <t>Mini Réfrigérateur</t>
  </si>
  <si>
    <t>PRD072</t>
  </si>
  <si>
    <t>Mixeur Électrique</t>
  </si>
  <si>
    <t>PRD073</t>
  </si>
  <si>
    <t>Fer à Repasser</t>
  </si>
  <si>
    <t>PRD074</t>
  </si>
  <si>
    <t>Aspirateur Portable</t>
  </si>
  <si>
    <t>PRD075</t>
  </si>
  <si>
    <t>Climatiseur Mobile</t>
  </si>
  <si>
    <t>PRD076</t>
  </si>
  <si>
    <t>Purificateur d'Air</t>
  </si>
  <si>
    <t>PRD077</t>
  </si>
  <si>
    <t>Chauffe-tasse USB</t>
  </si>
  <si>
    <t>PRD078</t>
  </si>
  <si>
    <t>Balance Électronique</t>
  </si>
  <si>
    <t>PRD079</t>
  </si>
  <si>
    <t>Machine à Café</t>
  </si>
  <si>
    <t>PRD080</t>
  </si>
  <si>
    <t>Cuiseur de Riz</t>
  </si>
  <si>
    <t>PRD081</t>
  </si>
  <si>
    <t>Blender</t>
  </si>
  <si>
    <t>PRD082</t>
  </si>
  <si>
    <t>Grille-Pain Inox</t>
  </si>
  <si>
    <t>PRD083</t>
  </si>
  <si>
    <t>Robot Multifonction</t>
  </si>
  <si>
    <t>PRD084</t>
  </si>
  <si>
    <t>Bouilloire Inox</t>
  </si>
  <si>
    <t>PRD085</t>
  </si>
  <si>
    <t>Plaque Électrique</t>
  </si>
  <si>
    <t>PRD086</t>
  </si>
  <si>
    <t>Fauteuil de Bureau</t>
  </si>
  <si>
    <t>PRD087</t>
  </si>
  <si>
    <t>Table de Réunion</t>
  </si>
  <si>
    <t>PRD088</t>
  </si>
  <si>
    <t>Armoire Métallique</t>
  </si>
  <si>
    <t>PRD089</t>
  </si>
  <si>
    <t>Caisson à Roulettes</t>
  </si>
  <si>
    <t>PRD090</t>
  </si>
  <si>
    <t>Repose-Pieds</t>
  </si>
  <si>
    <t>PRD091</t>
  </si>
  <si>
    <t>Bibliothèque</t>
  </si>
  <si>
    <t>PRD092</t>
  </si>
  <si>
    <t>Table Basse</t>
  </si>
  <si>
    <t>PRD093</t>
  </si>
  <si>
    <t>Tabouret</t>
  </si>
  <si>
    <t>PRD094</t>
  </si>
  <si>
    <t>Porte-Manteau</t>
  </si>
  <si>
    <t>PRD095</t>
  </si>
  <si>
    <t>Horloge Murale</t>
  </si>
  <si>
    <t>PRD096</t>
  </si>
  <si>
    <t>Routeur 4G</t>
  </si>
  <si>
    <t>PRD097</t>
  </si>
  <si>
    <t>Switch 8 Ports</t>
  </si>
  <si>
    <t>PRD098</t>
  </si>
  <si>
    <t>Répéteur Wi-Fi</t>
  </si>
  <si>
    <t>PRD099</t>
  </si>
  <si>
    <t>Câble Ethernet 20m</t>
  </si>
  <si>
    <t>PRD100</t>
  </si>
  <si>
    <t>Adaptateur Réseau</t>
  </si>
  <si>
    <t>PRD101</t>
  </si>
  <si>
    <t>Carte Réseau USB</t>
  </si>
  <si>
    <t>PRD102</t>
  </si>
  <si>
    <t>Caméra IP</t>
  </si>
  <si>
    <t>PRD103</t>
  </si>
  <si>
    <t>Disque NAS</t>
  </si>
  <si>
    <t>PRD104</t>
  </si>
  <si>
    <t>Serveur d'Impression</t>
  </si>
  <si>
    <t>PRD105</t>
  </si>
  <si>
    <t>Onduleur 1200VA</t>
  </si>
  <si>
    <t>PRD106</t>
  </si>
  <si>
    <t>Écran 27 pouces</t>
  </si>
  <si>
    <t>PRD107</t>
  </si>
  <si>
    <t>Écran 32 pouces</t>
  </si>
  <si>
    <t>PRD108</t>
  </si>
  <si>
    <t>Ordinateur Tout-en-un</t>
  </si>
  <si>
    <t>PRD109</t>
  </si>
  <si>
    <t>Mini PC</t>
  </si>
  <si>
    <t>PRD110</t>
  </si>
  <si>
    <t>Station d'Accueil</t>
  </si>
  <si>
    <t>PRD111</t>
  </si>
  <si>
    <t>Tablette Graphique</t>
  </si>
  <si>
    <t>PRD112</t>
  </si>
  <si>
    <t>Lecteur DVD Externe</t>
  </si>
  <si>
    <t>PRD113</t>
  </si>
  <si>
    <t>Graveur Externe</t>
  </si>
  <si>
    <t>PRD114</t>
  </si>
  <si>
    <t>Carte Son USB</t>
  </si>
  <si>
    <t>PRD115</t>
  </si>
  <si>
    <t>Casque Studio</t>
  </si>
  <si>
    <t>PRD116</t>
  </si>
  <si>
    <t>Enceinte Portable</t>
  </si>
  <si>
    <t>PRD117</t>
  </si>
  <si>
    <t>Barre de Son</t>
  </si>
  <si>
    <t>PRD118</t>
  </si>
  <si>
    <t>Microphone Cravate</t>
  </si>
  <si>
    <t>PRD119</t>
  </si>
  <si>
    <t>Pied Micro</t>
  </si>
  <si>
    <t>PRD120</t>
  </si>
  <si>
    <t>Filtre Anti-Pop</t>
  </si>
  <si>
    <t>PRD121</t>
  </si>
  <si>
    <t>Projecteur LED</t>
  </si>
  <si>
    <t>PRD122</t>
  </si>
  <si>
    <t>Écran de Projection</t>
  </si>
  <si>
    <t>PRD123</t>
  </si>
  <si>
    <t>Télécommande Universelle</t>
  </si>
  <si>
    <t>PRD124</t>
  </si>
  <si>
    <t>Décodeur TNT</t>
  </si>
  <si>
    <t>PRD125</t>
  </si>
  <si>
    <t>Antenne Intérieure</t>
  </si>
  <si>
    <t>PRD126</t>
  </si>
  <si>
    <t>Smart TV Box</t>
  </si>
  <si>
    <t>PRD127</t>
  </si>
  <si>
    <t>Console de Jeu</t>
  </si>
  <si>
    <t>PRD128</t>
  </si>
  <si>
    <t>Manette Sans Fil</t>
  </si>
  <si>
    <t>PRD129</t>
  </si>
  <si>
    <t>Sacoche Ordinateur</t>
  </si>
  <si>
    <t>PRD130</t>
  </si>
  <si>
    <t>Sac à Dos PC</t>
  </si>
  <si>
    <t>PRD131</t>
  </si>
  <si>
    <t>Adaptateur Secteur</t>
  </si>
  <si>
    <t>PRD132</t>
  </si>
  <si>
    <t>Chargeur Rapide</t>
  </si>
  <si>
    <t>PRD133</t>
  </si>
  <si>
    <t>Câble Lightning</t>
  </si>
  <si>
    <t>PRD134</t>
  </si>
  <si>
    <t>Câble Micro-USB</t>
  </si>
  <si>
    <t>PRD135</t>
  </si>
  <si>
    <t>Câble DisplayPort</t>
  </si>
  <si>
    <t>PRD136</t>
  </si>
  <si>
    <t>Convertisseur HDMI VGA</t>
  </si>
  <si>
    <t>PRD137</t>
  </si>
  <si>
    <t>Batterie UPS</t>
  </si>
  <si>
    <t>PRD138</t>
  </si>
  <si>
    <t>Pile Rechargeable</t>
  </si>
  <si>
    <t>PRD139</t>
  </si>
  <si>
    <t>Chargeur de Piles</t>
  </si>
  <si>
    <t>PRD140</t>
  </si>
  <si>
    <t>Lampe de Lecture</t>
  </si>
  <si>
    <t>PRD141</t>
  </si>
  <si>
    <t>Éclairage de Bureau</t>
  </si>
  <si>
    <t>PRD142</t>
  </si>
  <si>
    <t>Ruban LED</t>
  </si>
  <si>
    <t>PRD143</t>
  </si>
  <si>
    <t>Ampoule LED</t>
  </si>
  <si>
    <t>PRD144</t>
  </si>
  <si>
    <t>Détecteur de Mouvement</t>
  </si>
  <si>
    <t>PRD145</t>
  </si>
  <si>
    <t>Prise Connectée</t>
  </si>
  <si>
    <t>PRD146</t>
  </si>
  <si>
    <t>Thermomètre Digital</t>
  </si>
  <si>
    <t>PRD147</t>
  </si>
  <si>
    <t>Chronomètre</t>
  </si>
  <si>
    <t>PRD148</t>
  </si>
  <si>
    <t>Calculatrice de Bureau</t>
  </si>
  <si>
    <t>PRD149</t>
  </si>
  <si>
    <t>Scanner Portable</t>
  </si>
  <si>
    <t>PRD150</t>
  </si>
  <si>
    <t>Imprimante Jet d'Encre</t>
  </si>
  <si>
    <t>PRD151</t>
  </si>
  <si>
    <t>Imprimante Multifonction</t>
  </si>
  <si>
    <t>PRD152</t>
  </si>
  <si>
    <t>Cartouche Noire</t>
  </si>
  <si>
    <t>PRD153</t>
  </si>
  <si>
    <t>Cartouche Couleur</t>
  </si>
  <si>
    <t>PRD154</t>
  </si>
  <si>
    <t>Toner Laser Noir</t>
  </si>
  <si>
    <t>PRD155</t>
  </si>
  <si>
    <t>Toner Laser Couleur</t>
  </si>
  <si>
    <t>PRD156</t>
  </si>
  <si>
    <t>Papier Photo</t>
  </si>
  <si>
    <t>PRD157</t>
  </si>
  <si>
    <t>Papier Thermique</t>
  </si>
  <si>
    <t>PRD158</t>
  </si>
  <si>
    <t>Étiqueteuse</t>
  </si>
  <si>
    <t>PRD159</t>
  </si>
  <si>
    <t>Ruban Étiqueteuse</t>
  </si>
  <si>
    <t>PRD160</t>
  </si>
  <si>
    <t>Tampon Encreur</t>
  </si>
  <si>
    <t>PRD161</t>
  </si>
  <si>
    <t>Encreur Automatique</t>
  </si>
  <si>
    <t>PRD162</t>
  </si>
  <si>
    <t>Numéroteur</t>
  </si>
  <si>
    <t>PRD163</t>
  </si>
  <si>
    <t>Poinçonneuse</t>
  </si>
  <si>
    <t>PRD164</t>
  </si>
  <si>
    <t>Règle Métallique</t>
  </si>
  <si>
    <t>PRD165</t>
  </si>
  <si>
    <t>Mètre Ruban</t>
  </si>
  <si>
    <t>PRD166</t>
  </si>
  <si>
    <t>Classeur à Levier</t>
  </si>
  <si>
    <t>PRD167</t>
  </si>
  <si>
    <t>Intercalaire A4</t>
  </si>
  <si>
    <t>PRD168</t>
  </si>
  <si>
    <t>Protège-Documents</t>
  </si>
  <si>
    <t>PRD169</t>
  </si>
  <si>
    <t>Carnet de Notes</t>
  </si>
  <si>
    <t>PRD170</t>
  </si>
  <si>
    <t>Bloc-Notes</t>
  </si>
  <si>
    <t>PRD171</t>
  </si>
  <si>
    <t>Stylo Gel</t>
  </si>
  <si>
    <t>PRD172</t>
  </si>
  <si>
    <t>Stylo Plume</t>
  </si>
  <si>
    <t>PRD173</t>
  </si>
  <si>
    <t>Crayon HB</t>
  </si>
  <si>
    <t>PRD174</t>
  </si>
  <si>
    <t>Gomme Blanche</t>
  </si>
  <si>
    <t>PRD175</t>
  </si>
  <si>
    <t>Taille-Crayon Manuel</t>
  </si>
  <si>
    <t>PRD176</t>
  </si>
  <si>
    <t>Crayons de Couleur</t>
  </si>
  <si>
    <t>PRD177</t>
  </si>
  <si>
    <t>Feutres de Couleur</t>
  </si>
  <si>
    <t>PRD178</t>
  </si>
  <si>
    <t>Pinceau Fin</t>
  </si>
  <si>
    <t>PRD179</t>
  </si>
  <si>
    <t>Peinture Acrylique</t>
  </si>
  <si>
    <t>PRD180</t>
  </si>
  <si>
    <t>Palette de Peinture</t>
  </si>
  <si>
    <t>PRD181</t>
  </si>
  <si>
    <t>Tablette de Signature</t>
  </si>
  <si>
    <t>PRD182</t>
  </si>
  <si>
    <t>Lecteur Biométrique</t>
  </si>
  <si>
    <t>PRD183</t>
  </si>
  <si>
    <t>Scanner Code-Barres</t>
  </si>
  <si>
    <t>PRD184</t>
  </si>
  <si>
    <t>Imprimante Tickets</t>
  </si>
  <si>
    <t>PRD185</t>
  </si>
  <si>
    <t>Tiroir-Caisse</t>
  </si>
  <si>
    <t>PRD186</t>
  </si>
  <si>
    <t>Terminal de Paiement</t>
  </si>
  <si>
    <t>PRD187</t>
  </si>
  <si>
    <t>Écran Tactile</t>
  </si>
  <si>
    <t>PRD188</t>
  </si>
  <si>
    <t>Balance de Commerce</t>
  </si>
  <si>
    <t>PRD189</t>
  </si>
  <si>
    <t>Étiqueteuse Prix</t>
  </si>
  <si>
    <t>PRD190</t>
  </si>
  <si>
    <t>Lecteur RFID</t>
  </si>
  <si>
    <t>PRD191</t>
  </si>
  <si>
    <t>Casier de Rangement</t>
  </si>
  <si>
    <t>PRD192</t>
  </si>
  <si>
    <t>Coffre-Fort</t>
  </si>
  <si>
    <t>PRD193</t>
  </si>
  <si>
    <t>Ventilateur sur Pied</t>
  </si>
  <si>
    <t>PRD194</t>
  </si>
  <si>
    <t>Chauffage Électrique</t>
  </si>
  <si>
    <t>PRD195</t>
  </si>
  <si>
    <t>Humidificateur</t>
  </si>
  <si>
    <t>PRD196</t>
  </si>
  <si>
    <t>Déshumidificateur</t>
  </si>
  <si>
    <t>PRD197</t>
  </si>
  <si>
    <t>Fontaine à Eau</t>
  </si>
  <si>
    <t>PRD198</t>
  </si>
  <si>
    <t>Machine à Glaçons</t>
  </si>
  <si>
    <t>PRD199</t>
  </si>
  <si>
    <t>Thermos</t>
  </si>
  <si>
    <t>PRD200</t>
  </si>
  <si>
    <t>Mug Isotherme</t>
  </si>
  <si>
    <t>LA FONCTION RECHERCHE (forme vecteur)</t>
  </si>
  <si>
    <t>Syntaxe</t>
  </si>
  <si>
    <t>RECHERCHE(valeur_cherchée ; vecteur_recherche ; vecteur_résultat)</t>
  </si>
  <si>
    <t>Résultat</t>
  </si>
  <si>
    <t>Ce qu'il faut trouver</t>
  </si>
  <si>
    <t>Code recherché</t>
  </si>
  <si>
    <t>Le nom du Produit</t>
  </si>
  <si>
    <t>La Catégorie</t>
  </si>
  <si>
    <t>Le Prix</t>
  </si>
  <si>
    <t>Le Stock</t>
  </si>
  <si>
    <t>LA FONCTION RECHERCHEV</t>
  </si>
  <si>
    <t>RECHERCHEV(valeur_cherchée ; table_matrice ; no_index_colonne ; [valeur_proche])</t>
  </si>
  <si>
    <t>LA FONCTION RECHERCHEH</t>
  </si>
  <si>
    <t>RECHERCHEH(valeur_cherchée ; tableau ; no_index_ligne ; [valeur_proche])</t>
  </si>
  <si>
    <t>🗂️ Petit tableau pour s'entraîner (mêmes produits, présentés à l'horizontale)</t>
  </si>
  <si>
    <t>LA FONCTION RECHERCHEX (XLOOKUP)</t>
  </si>
  <si>
    <t>RECHERCHEX(valeur_cherchée ; matrice_recherche ; matrice_renvoyée ; [si_non_trouvé] ; [mode_correspondance] ; [mode_recherche])</t>
  </si>
  <si>
    <t>Le Code → Produit</t>
  </si>
  <si>
    <t>Le Code → Catégorie</t>
  </si>
  <si>
    <t>Le Code → Prix</t>
  </si>
  <si>
    <t>Le Code → Stock</t>
  </si>
  <si>
    <t>Les 10 exercices sont différents.</t>
  </si>
  <si>
    <t xml:space="preserve"> À toi de jouer — Exercices</t>
  </si>
  <si>
    <t xml:space="preserve">Résultat </t>
  </si>
  <si>
    <t>Formule &amp; résultat ici</t>
  </si>
  <si>
    <t xml:space="preserve">La Catégorie </t>
  </si>
  <si>
    <t xml:space="preserve">Le Produit </t>
  </si>
  <si>
    <t xml:space="preserve">Le Stock </t>
  </si>
  <si>
    <t xml:space="preserve">Le Prix </t>
  </si>
  <si>
    <t>Formule &amp; resultat</t>
  </si>
  <si>
    <t>À toi de jouer : Exercices</t>
  </si>
  <si>
    <t xml:space="preserve">Les 8 exercices sont différents. </t>
  </si>
  <si>
    <t xml:space="preserve">Formule et resultat </t>
  </si>
  <si>
    <t>À toi de jouer :  6 exercices</t>
  </si>
  <si>
    <t>Le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</si>
</sst>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.5"/>
      <name val="Arial"/>
      <charset val="1"/>
    </font>
    <font>
      <b/>
      <sz val="10.5"/>
      <color rgb="FFFFFFFF"/>
      <name val="Arial"/>
      <charset val="1"/>
    </font>
    <font>
      <b/>
      <sz val="12"/>
      <color rgb="FFD9822B"/>
      <name val="Arial"/>
      <charset val="1"/>
    </font>
    <font>
      <b/>
      <sz val="10.5"/>
      <color rgb="FF1F3864"/>
      <name val="Consolas"/>
      <charset val="1"/>
    </font>
    <font>
      <i/>
      <sz val="10"/>
      <color rgb="FF595959"/>
      <name val="Arial"/>
      <charset val="1"/>
    </font>
    <font>
      <b/>
      <sz val="10.5"/>
      <color theme="0"/>
      <name val="Arial"/>
      <family val="2"/>
    </font>
    <font>
      <sz val="11"/>
      <color theme="0"/>
      <name val="Calibri"/>
      <family val="2"/>
      <charset val="1"/>
    </font>
    <font>
      <b/>
      <sz val="12"/>
      <color rgb="FFD9822B"/>
      <name val="Arial"/>
      <family val="2"/>
    </font>
    <font>
      <sz val="10.5"/>
      <name val="Arial"/>
      <family val="2"/>
    </font>
    <font>
      <b/>
      <sz val="10.5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822B"/>
        <bgColor rgb="FFFF6600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DDEBF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4" fillId="0" borderId="0" xfId="0" applyFont="1"/>
    <xf numFmtId="0" fontId="6" fillId="0" borderId="0" xfId="0" applyFont="1" applyAlignment="1">
      <alignment vertical="top" wrapText="1"/>
    </xf>
    <xf numFmtId="0" fontId="0" fillId="0" borderId="4" xfId="0" applyBorder="1"/>
    <xf numFmtId="0" fontId="0" fillId="0" borderId="5" xfId="0" applyBorder="1"/>
    <xf numFmtId="0" fontId="5" fillId="6" borderId="1" xfId="0" applyFont="1" applyFill="1" applyBorder="1" applyAlignment="1">
      <alignment vertical="center" wrapText="1" indent="1"/>
    </xf>
    <xf numFmtId="0" fontId="2" fillId="4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164" fontId="2" fillId="4" borderId="9" xfId="0" applyNumberFormat="1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6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7" borderId="16" xfId="0" applyFont="1" applyFill="1" applyBorder="1" applyAlignment="1">
      <alignment horizontal="left" vertical="center" wrapText="1"/>
    </xf>
    <xf numFmtId="0" fontId="2" fillId="8" borderId="16" xfId="0" applyFont="1" applyFill="1" applyBorder="1" applyAlignment="1">
      <alignment horizontal="left" vertical="center" wrapText="1"/>
    </xf>
    <xf numFmtId="0" fontId="0" fillId="0" borderId="15" xfId="0" applyBorder="1"/>
    <xf numFmtId="0" fontId="0" fillId="0" borderId="11" xfId="0" applyBorder="1"/>
    <xf numFmtId="0" fontId="0" fillId="9" borderId="16" xfId="0" applyFill="1" applyBorder="1"/>
    <xf numFmtId="0" fontId="0" fillId="0" borderId="17" xfId="0" applyBorder="1"/>
    <xf numFmtId="0" fontId="0" fillId="0" borderId="18" xfId="0" applyBorder="1"/>
    <xf numFmtId="0" fontId="0" fillId="9" borderId="19" xfId="0" applyFill="1" applyBorder="1"/>
    <xf numFmtId="0" fontId="3" fillId="3" borderId="1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10" borderId="11" xfId="0" applyFont="1" applyFill="1" applyBorder="1"/>
    <xf numFmtId="0" fontId="9" fillId="0" borderId="0" xfId="0" applyFont="1"/>
    <xf numFmtId="0" fontId="10" fillId="4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indent="1"/>
    </xf>
    <xf numFmtId="0" fontId="11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0" fillId="13" borderId="0" xfId="0" applyFill="1"/>
  </cellXfs>
  <cellStyles count="1"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Arial"/>
        <charset val="1"/>
        <scheme val="none"/>
      </font>
      <fill>
        <patternFill patternType="solid">
          <fgColor rgb="FFFF6600"/>
          <bgColor rgb="FFD9822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Arial"/>
        <charset val="1"/>
        <scheme val="none"/>
      </font>
      <fill>
        <patternFill patternType="solid">
          <fgColor rgb="FFFF6600"/>
          <bgColor rgb="FFD9822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fill>
        <patternFill patternType="solid">
          <fgColor rgb="FFDDEBF7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Arial"/>
        <charset val="1"/>
        <scheme val="none"/>
      </font>
      <fill>
        <patternFill patternType="solid">
          <fgColor rgb="FFFF6600"/>
          <bgColor rgb="FFD9822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Arial"/>
        <charset val="1"/>
        <scheme val="none"/>
      </font>
      <fill>
        <patternFill patternType="solid">
          <fgColor rgb="FFFF6600"/>
          <bgColor rgb="FFD9822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fill>
        <patternFill patternType="solid">
          <fgColor rgb="FFDDEBF7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numFmt numFmtId="164" formatCode="#,##0&quot; €&quot;"/>
      <fill>
        <patternFill patternType="solid">
          <fgColor rgb="FFDDEBF7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fill>
        <patternFill patternType="solid">
          <fgColor rgb="FFDDEBF7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fill>
        <patternFill patternType="solid">
          <fgColor rgb="FFDDEBF7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rial"/>
        <charset val="1"/>
        <scheme val="none"/>
      </font>
      <fill>
        <patternFill patternType="solid">
          <fgColor rgb="FFDDEBF7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0DA69-ECED-4196-9E95-3E3BFDA4CE13}" name="Tableau1" displayName="Tableau1" ref="A4:E204" totalsRowShown="0" headerRowDxfId="21" headerRowBorderDxfId="28" tableBorderDxfId="29" totalsRowBorderDxfId="27">
  <autoFilter ref="A4:E204" xr:uid="{89C0DA69-ECED-4196-9E95-3E3BFDA4CE13}"/>
  <tableColumns count="5">
    <tableColumn id="1" xr3:uid="{3B7FFE7C-A940-48C3-AE57-7B4D9AC8EAB7}" name="Code" dataDxfId="26"/>
    <tableColumn id="2" xr3:uid="{778699F7-4288-447D-8D9A-035FC6E57488}" name="Produit" dataDxfId="25"/>
    <tableColumn id="3" xr3:uid="{9328D2F7-D5F8-4E3B-A8C9-54187C3C1589}" name="Catégorie" dataDxfId="24"/>
    <tableColumn id="4" xr3:uid="{12DA341D-5670-4D45-B82A-DCD9CDD3E0F7}" name="Prix (€)" dataDxfId="23"/>
    <tableColumn id="5" xr3:uid="{3A8C0F0F-3211-48BC-8875-4588C6905834}" name="Stock" dataDxfId="2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77C7AA-043E-48FA-A638-BCA1FCFCF461}" name="Tableau3" displayName="Tableau3" ref="A9:C20" totalsRowShown="0" headerRowDxfId="7" headerRowBorderDxfId="12" tableBorderDxfId="13" totalsRowBorderDxfId="11">
  <autoFilter ref="A9:C20" xr:uid="{FF77C7AA-043E-48FA-A638-BCA1FCFCF461}"/>
  <tableColumns count="3">
    <tableColumn id="1" xr3:uid="{0BD64C3A-B058-40D0-865E-6A4A8D89CDB9}" name="Les 10 exercices sont différents." dataDxfId="10"/>
    <tableColumn id="2" xr3:uid="{782E7174-39C1-4E86-8D2B-0A51C5E19BE4}" name="Ce qu'il faut trouver" dataDxfId="9"/>
    <tableColumn id="3" xr3:uid="{7DAAC6E8-FFCF-4DE2-9FB2-BC0FB35DAC7D}" name="Résultat 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11FEC-E060-4CDD-A72B-AB63DC50981B}" name="Tableau4" displayName="Tableau4" ref="A10:C21" totalsRowShown="0" headerRowDxfId="0" headerRowBorderDxfId="5" tableBorderDxfId="6" totalsRowBorderDxfId="4">
  <autoFilter ref="A10:C21" xr:uid="{CF011FEC-E060-4CDD-A72B-AB63DC50981B}"/>
  <tableColumns count="3">
    <tableColumn id="1" xr3:uid="{70BB2932-8EEA-47C1-A121-FC0EFCDB4D8D}" name="Les 10 exercices sont différents." dataDxfId="3"/>
    <tableColumn id="2" xr3:uid="{1A32163F-30E5-4EE4-93E4-A81348C90FEE}" name="Ce qu'il faut trouver" dataDxfId="2"/>
    <tableColumn id="3" xr3:uid="{E91A5F06-ACD6-4CE0-A4B5-3B487A799745}" name="Résultat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0D1147-75C3-4FB9-AD2A-B386829068D0}" name="Tableau2" displayName="Tableau2" ref="A9:C18" totalsRowShown="0" headerRowDxfId="14" headerRowBorderDxfId="19" tableBorderDxfId="20" totalsRowBorderDxfId="18">
  <autoFilter ref="A9:C18" xr:uid="{970D1147-75C3-4FB9-AD2A-B386829068D0}"/>
  <tableColumns count="3">
    <tableColumn id="1" xr3:uid="{0FB4EF74-0275-4BC2-B51D-1053C17B34FB}" name="Les 8 exercices sont différents. " dataDxfId="17"/>
    <tableColumn id="2" xr3:uid="{D4184175-ADAD-492B-BD87-1D8C6988DACB}" name="Ce qu'il faut trouver" dataDxfId="16"/>
    <tableColumn id="3" xr3:uid="{7BD6BF8E-099A-426E-943E-8E912F3C7AAC}" name="Résultat" dataDxfId="1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zoomScaleNormal="100" workbookViewId="0">
      <pane ySplit="4" topLeftCell="A181" activePane="bottomLeft" state="frozen"/>
      <selection pane="bottomLeft" activeCell="B95" sqref="B95"/>
    </sheetView>
  </sheetViews>
  <sheetFormatPr baseColWidth="10" defaultColWidth="8.6328125" defaultRowHeight="14.5" x14ac:dyDescent="0.35"/>
  <cols>
    <col min="1" max="1" width="16.7265625" customWidth="1"/>
    <col min="2" max="2" width="34.90625" customWidth="1"/>
    <col min="3" max="3" width="25" customWidth="1"/>
    <col min="4" max="4" width="15.36328125" customWidth="1"/>
    <col min="5" max="5" width="24.26953125" customWidth="1"/>
  </cols>
  <sheetData>
    <row r="1" spans="1:5" ht="27.75" customHeight="1" x14ac:dyDescent="0.35">
      <c r="A1" s="9" t="s">
        <v>0</v>
      </c>
      <c r="B1" s="8"/>
      <c r="C1" s="8"/>
      <c r="D1" s="8"/>
      <c r="E1" s="8"/>
    </row>
    <row r="2" spans="1:5" ht="30" customHeight="1" x14ac:dyDescent="0.35">
      <c r="A2" s="7" t="s">
        <v>1</v>
      </c>
      <c r="B2" s="8"/>
      <c r="C2" s="8"/>
      <c r="D2" s="8"/>
      <c r="E2" s="8"/>
    </row>
    <row r="4" spans="1:5" ht="15" customHeight="1" x14ac:dyDescent="0.35">
      <c r="A4" s="16" t="s">
        <v>2</v>
      </c>
      <c r="B4" s="17" t="s">
        <v>3</v>
      </c>
      <c r="C4" s="17" t="s">
        <v>4</v>
      </c>
      <c r="D4" s="17" t="s">
        <v>5</v>
      </c>
      <c r="E4" s="18" t="s">
        <v>6</v>
      </c>
    </row>
    <row r="5" spans="1:5" ht="15" customHeight="1" x14ac:dyDescent="0.35">
      <c r="A5" s="15" t="s">
        <v>7</v>
      </c>
      <c r="B5" s="2" t="s">
        <v>8</v>
      </c>
      <c r="C5" s="2" t="s">
        <v>9</v>
      </c>
      <c r="D5" s="3">
        <v>549</v>
      </c>
      <c r="E5" s="6">
        <v>12</v>
      </c>
    </row>
    <row r="6" spans="1:5" ht="15" customHeight="1" x14ac:dyDescent="0.35">
      <c r="A6" s="15" t="s">
        <v>10</v>
      </c>
      <c r="B6" s="2" t="s">
        <v>11</v>
      </c>
      <c r="C6" s="2" t="s">
        <v>9</v>
      </c>
      <c r="D6" s="3">
        <v>19</v>
      </c>
      <c r="E6" s="6">
        <v>85</v>
      </c>
    </row>
    <row r="7" spans="1:5" ht="15" customHeight="1" x14ac:dyDescent="0.35">
      <c r="A7" s="15" t="s">
        <v>12</v>
      </c>
      <c r="B7" s="2" t="s">
        <v>13</v>
      </c>
      <c r="C7" s="2" t="s">
        <v>9</v>
      </c>
      <c r="D7" s="3">
        <v>45</v>
      </c>
      <c r="E7" s="6">
        <v>30</v>
      </c>
    </row>
    <row r="8" spans="1:5" ht="15" customHeight="1" x14ac:dyDescent="0.35">
      <c r="A8" s="15" t="s">
        <v>14</v>
      </c>
      <c r="B8" s="2" t="s">
        <v>15</v>
      </c>
      <c r="C8" s="2" t="s">
        <v>9</v>
      </c>
      <c r="D8" s="3">
        <v>139</v>
      </c>
      <c r="E8" s="6">
        <v>20</v>
      </c>
    </row>
    <row r="9" spans="1:5" ht="15" customHeight="1" x14ac:dyDescent="0.35">
      <c r="A9" s="15" t="s">
        <v>16</v>
      </c>
      <c r="B9" s="2" t="s">
        <v>17</v>
      </c>
      <c r="C9" s="2" t="s">
        <v>18</v>
      </c>
      <c r="D9" s="3">
        <v>59</v>
      </c>
      <c r="E9" s="6">
        <v>40</v>
      </c>
    </row>
    <row r="10" spans="1:5" ht="15" customHeight="1" x14ac:dyDescent="0.35">
      <c r="A10" s="15" t="s">
        <v>19</v>
      </c>
      <c r="B10" s="2" t="s">
        <v>20</v>
      </c>
      <c r="C10" s="2" t="s">
        <v>21</v>
      </c>
      <c r="D10" s="3">
        <v>129</v>
      </c>
      <c r="E10" s="6">
        <v>15</v>
      </c>
    </row>
    <row r="11" spans="1:5" ht="15" customHeight="1" x14ac:dyDescent="0.35">
      <c r="A11" s="15" t="s">
        <v>22</v>
      </c>
      <c r="B11" s="2" t="s">
        <v>23</v>
      </c>
      <c r="C11" s="2" t="s">
        <v>21</v>
      </c>
      <c r="D11" s="3">
        <v>320</v>
      </c>
      <c r="E11" s="6">
        <v>8</v>
      </c>
    </row>
    <row r="12" spans="1:5" ht="15" customHeight="1" x14ac:dyDescent="0.35">
      <c r="A12" s="15" t="s">
        <v>24</v>
      </c>
      <c r="B12" s="2" t="s">
        <v>25</v>
      </c>
      <c r="C12" s="2" t="s">
        <v>21</v>
      </c>
      <c r="D12" s="3">
        <v>25</v>
      </c>
      <c r="E12" s="6">
        <v>50</v>
      </c>
    </row>
    <row r="13" spans="1:5" ht="15" customHeight="1" x14ac:dyDescent="0.35">
      <c r="A13" s="15" t="s">
        <v>26</v>
      </c>
      <c r="B13" s="2" t="s">
        <v>27</v>
      </c>
      <c r="C13" s="2" t="s">
        <v>21</v>
      </c>
      <c r="D13" s="3">
        <v>65</v>
      </c>
      <c r="E13" s="6">
        <v>22</v>
      </c>
    </row>
    <row r="14" spans="1:5" ht="15" customHeight="1" x14ac:dyDescent="0.35">
      <c r="A14" s="15" t="s">
        <v>28</v>
      </c>
      <c r="B14" s="2" t="s">
        <v>29</v>
      </c>
      <c r="C14" s="2" t="s">
        <v>30</v>
      </c>
      <c r="D14" s="3">
        <v>4</v>
      </c>
      <c r="E14" s="6">
        <v>200</v>
      </c>
    </row>
    <row r="15" spans="1:5" ht="15" customHeight="1" x14ac:dyDescent="0.35">
      <c r="A15" s="15" t="s">
        <v>31</v>
      </c>
      <c r="B15" s="2" t="s">
        <v>32</v>
      </c>
      <c r="C15" s="2" t="s">
        <v>30</v>
      </c>
      <c r="D15" s="3">
        <v>6</v>
      </c>
      <c r="E15" s="6">
        <v>150</v>
      </c>
    </row>
    <row r="16" spans="1:5" ht="15" customHeight="1" x14ac:dyDescent="0.35">
      <c r="A16" s="15" t="s">
        <v>33</v>
      </c>
      <c r="B16" s="2" t="s">
        <v>34</v>
      </c>
      <c r="C16" s="2" t="s">
        <v>30</v>
      </c>
      <c r="D16" s="3">
        <v>3</v>
      </c>
      <c r="E16" s="6">
        <v>180</v>
      </c>
    </row>
    <row r="17" spans="1:5" ht="15" customHeight="1" x14ac:dyDescent="0.35">
      <c r="A17" s="15" t="s">
        <v>35</v>
      </c>
      <c r="B17" s="2" t="s">
        <v>36</v>
      </c>
      <c r="C17" s="2" t="s">
        <v>30</v>
      </c>
      <c r="D17" s="3">
        <v>12</v>
      </c>
      <c r="E17" s="6">
        <v>90</v>
      </c>
    </row>
    <row r="18" spans="1:5" ht="15" customHeight="1" x14ac:dyDescent="0.35">
      <c r="A18" s="15" t="s">
        <v>37</v>
      </c>
      <c r="B18" s="2" t="s">
        <v>38</v>
      </c>
      <c r="C18" s="2" t="s">
        <v>9</v>
      </c>
      <c r="D18" s="3">
        <v>210</v>
      </c>
      <c r="E18" s="6">
        <v>10</v>
      </c>
    </row>
    <row r="19" spans="1:5" ht="15" customHeight="1" x14ac:dyDescent="0.35">
      <c r="A19" s="15" t="s">
        <v>39</v>
      </c>
      <c r="B19" s="2" t="s">
        <v>40</v>
      </c>
      <c r="C19" s="2" t="s">
        <v>9</v>
      </c>
      <c r="D19" s="3">
        <v>75</v>
      </c>
      <c r="E19" s="6">
        <v>35</v>
      </c>
    </row>
    <row r="20" spans="1:5" ht="15" customHeight="1" x14ac:dyDescent="0.35">
      <c r="A20" s="15" t="s">
        <v>41</v>
      </c>
      <c r="B20" s="2" t="s">
        <v>42</v>
      </c>
      <c r="C20" s="2" t="s">
        <v>43</v>
      </c>
      <c r="D20" s="3">
        <v>95</v>
      </c>
      <c r="E20" s="6">
        <v>18</v>
      </c>
    </row>
    <row r="21" spans="1:5" ht="15" customHeight="1" x14ac:dyDescent="0.35">
      <c r="A21" s="15" t="s">
        <v>44</v>
      </c>
      <c r="B21" s="2" t="s">
        <v>45</v>
      </c>
      <c r="C21" s="2" t="s">
        <v>43</v>
      </c>
      <c r="D21" s="3">
        <v>29</v>
      </c>
      <c r="E21" s="6">
        <v>60</v>
      </c>
    </row>
    <row r="22" spans="1:5" ht="15" customHeight="1" x14ac:dyDescent="0.35">
      <c r="A22" s="15" t="s">
        <v>46</v>
      </c>
      <c r="B22" s="2" t="s">
        <v>47</v>
      </c>
      <c r="C22" s="2" t="s">
        <v>43</v>
      </c>
      <c r="D22" s="3">
        <v>34</v>
      </c>
      <c r="E22" s="6">
        <v>45</v>
      </c>
    </row>
    <row r="23" spans="1:5" ht="15" customHeight="1" x14ac:dyDescent="0.35">
      <c r="A23" s="15" t="s">
        <v>48</v>
      </c>
      <c r="B23" s="2" t="s">
        <v>49</v>
      </c>
      <c r="C23" s="2" t="s">
        <v>43</v>
      </c>
      <c r="D23" s="3">
        <v>55</v>
      </c>
      <c r="E23" s="6">
        <v>25</v>
      </c>
    </row>
    <row r="24" spans="1:5" ht="15" customHeight="1" x14ac:dyDescent="0.35">
      <c r="A24" s="15" t="s">
        <v>50</v>
      </c>
      <c r="B24" s="2" t="s">
        <v>51</v>
      </c>
      <c r="C24" s="2" t="s">
        <v>43</v>
      </c>
      <c r="D24" s="3">
        <v>27</v>
      </c>
      <c r="E24" s="6">
        <v>38</v>
      </c>
    </row>
    <row r="25" spans="1:5" x14ac:dyDescent="0.35">
      <c r="A25" s="15" t="s">
        <v>52</v>
      </c>
      <c r="B25" s="2" t="s">
        <v>53</v>
      </c>
      <c r="C25" s="2" t="s">
        <v>9</v>
      </c>
      <c r="D25" s="3">
        <v>15</v>
      </c>
      <c r="E25" s="6">
        <v>8</v>
      </c>
    </row>
    <row r="26" spans="1:5" x14ac:dyDescent="0.35">
      <c r="A26" s="15" t="s">
        <v>54</v>
      </c>
      <c r="B26" s="2" t="s">
        <v>55</v>
      </c>
      <c r="C26" s="2" t="s">
        <v>18</v>
      </c>
      <c r="D26" s="3">
        <v>25</v>
      </c>
      <c r="E26" s="6">
        <v>12</v>
      </c>
    </row>
    <row r="27" spans="1:5" x14ac:dyDescent="0.35">
      <c r="A27" s="15" t="s">
        <v>56</v>
      </c>
      <c r="B27" s="2" t="s">
        <v>57</v>
      </c>
      <c r="C27" s="2" t="s">
        <v>21</v>
      </c>
      <c r="D27" s="3">
        <v>35</v>
      </c>
      <c r="E27" s="6">
        <v>15</v>
      </c>
    </row>
    <row r="28" spans="1:5" x14ac:dyDescent="0.35">
      <c r="A28" s="15" t="s">
        <v>58</v>
      </c>
      <c r="B28" s="2" t="s">
        <v>59</v>
      </c>
      <c r="C28" s="2" t="s">
        <v>30</v>
      </c>
      <c r="D28" s="3">
        <v>45</v>
      </c>
      <c r="E28" s="6">
        <v>18</v>
      </c>
    </row>
    <row r="29" spans="1:5" x14ac:dyDescent="0.35">
      <c r="A29" s="15" t="s">
        <v>60</v>
      </c>
      <c r="B29" s="2" t="s">
        <v>61</v>
      </c>
      <c r="C29" s="2" t="s">
        <v>43</v>
      </c>
      <c r="D29" s="3">
        <v>55</v>
      </c>
      <c r="E29" s="6">
        <v>20</v>
      </c>
    </row>
    <row r="30" spans="1:5" x14ac:dyDescent="0.35">
      <c r="A30" s="15" t="s">
        <v>62</v>
      </c>
      <c r="B30" s="2" t="s">
        <v>63</v>
      </c>
      <c r="C30" s="2" t="s">
        <v>64</v>
      </c>
      <c r="D30" s="3">
        <v>65</v>
      </c>
      <c r="E30" s="6">
        <v>25</v>
      </c>
    </row>
    <row r="31" spans="1:5" x14ac:dyDescent="0.35">
      <c r="A31" s="15" t="s">
        <v>65</v>
      </c>
      <c r="B31" s="2" t="s">
        <v>66</v>
      </c>
      <c r="C31" s="2" t="s">
        <v>67</v>
      </c>
      <c r="D31" s="3">
        <v>75</v>
      </c>
      <c r="E31" s="6">
        <v>30</v>
      </c>
    </row>
    <row r="32" spans="1:5" x14ac:dyDescent="0.35">
      <c r="A32" s="15" t="s">
        <v>68</v>
      </c>
      <c r="B32" s="2" t="s">
        <v>69</v>
      </c>
      <c r="C32" s="2" t="s">
        <v>70</v>
      </c>
      <c r="D32" s="3">
        <v>85</v>
      </c>
      <c r="E32" s="6">
        <v>35</v>
      </c>
    </row>
    <row r="33" spans="1:5" x14ac:dyDescent="0.35">
      <c r="A33" s="15" t="s">
        <v>71</v>
      </c>
      <c r="B33" s="2" t="s">
        <v>72</v>
      </c>
      <c r="C33" s="2" t="s">
        <v>73</v>
      </c>
      <c r="D33" s="3">
        <v>95</v>
      </c>
      <c r="E33" s="6">
        <v>40</v>
      </c>
    </row>
    <row r="34" spans="1:5" x14ac:dyDescent="0.35">
      <c r="A34" s="15" t="s">
        <v>74</v>
      </c>
      <c r="B34" s="2" t="s">
        <v>75</v>
      </c>
      <c r="C34" s="2" t="s">
        <v>76</v>
      </c>
      <c r="D34" s="3">
        <v>120</v>
      </c>
      <c r="E34" s="6">
        <v>45</v>
      </c>
    </row>
    <row r="35" spans="1:5" x14ac:dyDescent="0.35">
      <c r="A35" s="15" t="s">
        <v>77</v>
      </c>
      <c r="B35" s="2" t="s">
        <v>78</v>
      </c>
      <c r="C35" s="2" t="s">
        <v>9</v>
      </c>
      <c r="D35" s="3">
        <v>150</v>
      </c>
      <c r="E35" s="6">
        <v>50</v>
      </c>
    </row>
    <row r="36" spans="1:5" x14ac:dyDescent="0.35">
      <c r="A36" s="15" t="s">
        <v>79</v>
      </c>
      <c r="B36" s="2" t="s">
        <v>80</v>
      </c>
      <c r="C36" s="2" t="s">
        <v>18</v>
      </c>
      <c r="D36" s="3">
        <v>180</v>
      </c>
      <c r="E36" s="6">
        <v>60</v>
      </c>
    </row>
    <row r="37" spans="1:5" x14ac:dyDescent="0.35">
      <c r="A37" s="15" t="s">
        <v>81</v>
      </c>
      <c r="B37" s="2" t="s">
        <v>82</v>
      </c>
      <c r="C37" s="2" t="s">
        <v>21</v>
      </c>
      <c r="D37" s="3">
        <v>220</v>
      </c>
      <c r="E37" s="6">
        <v>70</v>
      </c>
    </row>
    <row r="38" spans="1:5" x14ac:dyDescent="0.35">
      <c r="A38" s="15" t="s">
        <v>83</v>
      </c>
      <c r="B38" s="2" t="s">
        <v>84</v>
      </c>
      <c r="C38" s="2" t="s">
        <v>30</v>
      </c>
      <c r="D38" s="3">
        <v>260</v>
      </c>
      <c r="E38" s="6">
        <v>80</v>
      </c>
    </row>
    <row r="39" spans="1:5" x14ac:dyDescent="0.35">
      <c r="A39" s="15" t="s">
        <v>85</v>
      </c>
      <c r="B39" s="2" t="s">
        <v>86</v>
      </c>
      <c r="C39" s="2" t="s">
        <v>43</v>
      </c>
      <c r="D39" s="3">
        <v>320</v>
      </c>
      <c r="E39" s="6">
        <v>90</v>
      </c>
    </row>
    <row r="40" spans="1:5" x14ac:dyDescent="0.35">
      <c r="A40" s="15" t="s">
        <v>87</v>
      </c>
      <c r="B40" s="2" t="s">
        <v>88</v>
      </c>
      <c r="C40" s="2" t="s">
        <v>64</v>
      </c>
      <c r="D40" s="3">
        <v>380</v>
      </c>
      <c r="E40" s="6">
        <v>100</v>
      </c>
    </row>
    <row r="41" spans="1:5" x14ac:dyDescent="0.35">
      <c r="A41" s="15" t="s">
        <v>89</v>
      </c>
      <c r="B41" s="2" t="s">
        <v>90</v>
      </c>
      <c r="C41" s="2" t="s">
        <v>67</v>
      </c>
      <c r="D41" s="3">
        <v>450</v>
      </c>
      <c r="E41" s="6">
        <v>110</v>
      </c>
    </row>
    <row r="42" spans="1:5" x14ac:dyDescent="0.35">
      <c r="A42" s="15" t="s">
        <v>91</v>
      </c>
      <c r="B42" s="2" t="s">
        <v>92</v>
      </c>
      <c r="C42" s="2" t="s">
        <v>70</v>
      </c>
      <c r="D42" s="3">
        <v>520</v>
      </c>
      <c r="E42" s="6">
        <v>120</v>
      </c>
    </row>
    <row r="43" spans="1:5" x14ac:dyDescent="0.35">
      <c r="A43" s="15" t="s">
        <v>93</v>
      </c>
      <c r="B43" s="2" t="s">
        <v>94</v>
      </c>
      <c r="C43" s="2" t="s">
        <v>73</v>
      </c>
      <c r="D43" s="3">
        <v>650</v>
      </c>
      <c r="E43" s="6">
        <v>8</v>
      </c>
    </row>
    <row r="44" spans="1:5" x14ac:dyDescent="0.35">
      <c r="A44" s="15" t="s">
        <v>95</v>
      </c>
      <c r="B44" s="2" t="s">
        <v>96</v>
      </c>
      <c r="C44" s="2" t="s">
        <v>76</v>
      </c>
      <c r="D44" s="3">
        <v>780</v>
      </c>
      <c r="E44" s="6">
        <v>12</v>
      </c>
    </row>
    <row r="45" spans="1:5" x14ac:dyDescent="0.35">
      <c r="A45" s="15" t="s">
        <v>97</v>
      </c>
      <c r="B45" s="2" t="s">
        <v>98</v>
      </c>
      <c r="C45" s="2" t="s">
        <v>9</v>
      </c>
      <c r="D45" s="3">
        <v>15</v>
      </c>
      <c r="E45" s="6">
        <v>15</v>
      </c>
    </row>
    <row r="46" spans="1:5" x14ac:dyDescent="0.35">
      <c r="A46" s="15" t="s">
        <v>99</v>
      </c>
      <c r="B46" s="2" t="s">
        <v>100</v>
      </c>
      <c r="C46" s="2" t="s">
        <v>18</v>
      </c>
      <c r="D46" s="3">
        <v>25</v>
      </c>
      <c r="E46" s="6">
        <v>18</v>
      </c>
    </row>
    <row r="47" spans="1:5" x14ac:dyDescent="0.35">
      <c r="A47" s="15" t="s">
        <v>101</v>
      </c>
      <c r="B47" s="2" t="s">
        <v>102</v>
      </c>
      <c r="C47" s="2" t="s">
        <v>21</v>
      </c>
      <c r="D47" s="3">
        <v>35</v>
      </c>
      <c r="E47" s="6">
        <v>20</v>
      </c>
    </row>
    <row r="48" spans="1:5" x14ac:dyDescent="0.35">
      <c r="A48" s="15" t="s">
        <v>103</v>
      </c>
      <c r="B48" s="2" t="s">
        <v>104</v>
      </c>
      <c r="C48" s="2" t="s">
        <v>30</v>
      </c>
      <c r="D48" s="3">
        <v>45</v>
      </c>
      <c r="E48" s="6">
        <v>25</v>
      </c>
    </row>
    <row r="49" spans="1:5" x14ac:dyDescent="0.35">
      <c r="A49" s="15" t="s">
        <v>105</v>
      </c>
      <c r="B49" s="2" t="s">
        <v>106</v>
      </c>
      <c r="C49" s="2" t="s">
        <v>43</v>
      </c>
      <c r="D49" s="3">
        <v>55</v>
      </c>
      <c r="E49" s="6">
        <v>30</v>
      </c>
    </row>
    <row r="50" spans="1:5" x14ac:dyDescent="0.35">
      <c r="A50" s="15" t="s">
        <v>107</v>
      </c>
      <c r="B50" s="2" t="s">
        <v>108</v>
      </c>
      <c r="C50" s="2" t="s">
        <v>64</v>
      </c>
      <c r="D50" s="3">
        <v>65</v>
      </c>
      <c r="E50" s="6">
        <v>35</v>
      </c>
    </row>
    <row r="51" spans="1:5" x14ac:dyDescent="0.35">
      <c r="A51" s="15" t="s">
        <v>109</v>
      </c>
      <c r="B51" s="2" t="s">
        <v>110</v>
      </c>
      <c r="C51" s="2" t="s">
        <v>67</v>
      </c>
      <c r="D51" s="3">
        <v>75</v>
      </c>
      <c r="E51" s="6">
        <v>40</v>
      </c>
    </row>
    <row r="52" spans="1:5" x14ac:dyDescent="0.35">
      <c r="A52" s="15" t="s">
        <v>111</v>
      </c>
      <c r="B52" s="2" t="s">
        <v>112</v>
      </c>
      <c r="C52" s="2" t="s">
        <v>70</v>
      </c>
      <c r="D52" s="3">
        <v>85</v>
      </c>
      <c r="E52" s="6">
        <v>45</v>
      </c>
    </row>
    <row r="53" spans="1:5" x14ac:dyDescent="0.35">
      <c r="A53" s="15" t="s">
        <v>113</v>
      </c>
      <c r="B53" s="2" t="s">
        <v>114</v>
      </c>
      <c r="C53" s="2" t="s">
        <v>73</v>
      </c>
      <c r="D53" s="3">
        <v>95</v>
      </c>
      <c r="E53" s="6">
        <v>50</v>
      </c>
    </row>
    <row r="54" spans="1:5" x14ac:dyDescent="0.35">
      <c r="A54" s="15" t="s">
        <v>115</v>
      </c>
      <c r="B54" s="2" t="s">
        <v>116</v>
      </c>
      <c r="C54" s="2" t="s">
        <v>76</v>
      </c>
      <c r="D54" s="3">
        <v>120</v>
      </c>
      <c r="E54" s="6">
        <v>60</v>
      </c>
    </row>
    <row r="55" spans="1:5" x14ac:dyDescent="0.35">
      <c r="A55" s="15" t="s">
        <v>117</v>
      </c>
      <c r="B55" s="2" t="s">
        <v>118</v>
      </c>
      <c r="C55" s="2" t="s">
        <v>9</v>
      </c>
      <c r="D55" s="3">
        <v>150</v>
      </c>
      <c r="E55" s="6">
        <v>70</v>
      </c>
    </row>
    <row r="56" spans="1:5" x14ac:dyDescent="0.35">
      <c r="A56" s="15" t="s">
        <v>119</v>
      </c>
      <c r="B56" s="2" t="s">
        <v>120</v>
      </c>
      <c r="C56" s="2" t="s">
        <v>18</v>
      </c>
      <c r="D56" s="3">
        <v>180</v>
      </c>
      <c r="E56" s="6">
        <v>80</v>
      </c>
    </row>
    <row r="57" spans="1:5" x14ac:dyDescent="0.35">
      <c r="A57" s="15" t="s">
        <v>121</v>
      </c>
      <c r="B57" s="2" t="s">
        <v>122</v>
      </c>
      <c r="C57" s="2" t="s">
        <v>21</v>
      </c>
      <c r="D57" s="3">
        <v>220</v>
      </c>
      <c r="E57" s="6">
        <v>90</v>
      </c>
    </row>
    <row r="58" spans="1:5" x14ac:dyDescent="0.35">
      <c r="A58" s="15" t="s">
        <v>123</v>
      </c>
      <c r="B58" s="2" t="s">
        <v>124</v>
      </c>
      <c r="C58" s="2" t="s">
        <v>30</v>
      </c>
      <c r="D58" s="3">
        <v>260</v>
      </c>
      <c r="E58" s="6">
        <v>100</v>
      </c>
    </row>
    <row r="59" spans="1:5" x14ac:dyDescent="0.35">
      <c r="A59" s="15" t="s">
        <v>125</v>
      </c>
      <c r="B59" s="2" t="s">
        <v>126</v>
      </c>
      <c r="C59" s="2" t="s">
        <v>43</v>
      </c>
      <c r="D59" s="3">
        <v>320</v>
      </c>
      <c r="E59" s="6">
        <v>110</v>
      </c>
    </row>
    <row r="60" spans="1:5" x14ac:dyDescent="0.35">
      <c r="A60" s="15" t="s">
        <v>127</v>
      </c>
      <c r="B60" s="2" t="s">
        <v>128</v>
      </c>
      <c r="C60" s="2" t="s">
        <v>64</v>
      </c>
      <c r="D60" s="3">
        <v>380</v>
      </c>
      <c r="E60" s="6">
        <v>120</v>
      </c>
    </row>
    <row r="61" spans="1:5" x14ac:dyDescent="0.35">
      <c r="A61" s="15" t="s">
        <v>129</v>
      </c>
      <c r="B61" s="2" t="s">
        <v>130</v>
      </c>
      <c r="C61" s="2" t="s">
        <v>67</v>
      </c>
      <c r="D61" s="3">
        <v>450</v>
      </c>
      <c r="E61" s="6">
        <v>8</v>
      </c>
    </row>
    <row r="62" spans="1:5" x14ac:dyDescent="0.35">
      <c r="A62" s="15" t="s">
        <v>131</v>
      </c>
      <c r="B62" s="2" t="s">
        <v>132</v>
      </c>
      <c r="C62" s="2" t="s">
        <v>70</v>
      </c>
      <c r="D62" s="3">
        <v>520</v>
      </c>
      <c r="E62" s="6">
        <v>12</v>
      </c>
    </row>
    <row r="63" spans="1:5" x14ac:dyDescent="0.35">
      <c r="A63" s="15" t="s">
        <v>133</v>
      </c>
      <c r="B63" s="2" t="s">
        <v>134</v>
      </c>
      <c r="C63" s="2" t="s">
        <v>73</v>
      </c>
      <c r="D63" s="3">
        <v>650</v>
      </c>
      <c r="E63" s="6">
        <v>15</v>
      </c>
    </row>
    <row r="64" spans="1:5" x14ac:dyDescent="0.35">
      <c r="A64" s="15" t="s">
        <v>135</v>
      </c>
      <c r="B64" s="2" t="s">
        <v>136</v>
      </c>
      <c r="C64" s="2" t="s">
        <v>76</v>
      </c>
      <c r="D64" s="3">
        <v>780</v>
      </c>
      <c r="E64" s="6">
        <v>18</v>
      </c>
    </row>
    <row r="65" spans="1:5" x14ac:dyDescent="0.35">
      <c r="A65" s="15" t="s">
        <v>137</v>
      </c>
      <c r="B65" s="2" t="s">
        <v>138</v>
      </c>
      <c r="C65" s="2" t="s">
        <v>9</v>
      </c>
      <c r="D65" s="3">
        <v>15</v>
      </c>
      <c r="E65" s="6">
        <v>20</v>
      </c>
    </row>
    <row r="66" spans="1:5" x14ac:dyDescent="0.35">
      <c r="A66" s="15" t="s">
        <v>139</v>
      </c>
      <c r="B66" s="2" t="s">
        <v>140</v>
      </c>
      <c r="C66" s="2" t="s">
        <v>18</v>
      </c>
      <c r="D66" s="3">
        <v>25</v>
      </c>
      <c r="E66" s="6">
        <v>25</v>
      </c>
    </row>
    <row r="67" spans="1:5" x14ac:dyDescent="0.35">
      <c r="A67" s="15" t="s">
        <v>141</v>
      </c>
      <c r="B67" s="2" t="s">
        <v>142</v>
      </c>
      <c r="C67" s="2" t="s">
        <v>21</v>
      </c>
      <c r="D67" s="3">
        <v>35</v>
      </c>
      <c r="E67" s="6">
        <v>30</v>
      </c>
    </row>
    <row r="68" spans="1:5" x14ac:dyDescent="0.35">
      <c r="A68" s="15" t="s">
        <v>143</v>
      </c>
      <c r="B68" s="2" t="s">
        <v>144</v>
      </c>
      <c r="C68" s="2" t="s">
        <v>30</v>
      </c>
      <c r="D68" s="3">
        <v>45</v>
      </c>
      <c r="E68" s="6">
        <v>35</v>
      </c>
    </row>
    <row r="69" spans="1:5" x14ac:dyDescent="0.35">
      <c r="A69" s="15" t="s">
        <v>145</v>
      </c>
      <c r="B69" s="2" t="s">
        <v>146</v>
      </c>
      <c r="C69" s="2" t="s">
        <v>43</v>
      </c>
      <c r="D69" s="3">
        <v>55</v>
      </c>
      <c r="E69" s="6">
        <v>40</v>
      </c>
    </row>
    <row r="70" spans="1:5" x14ac:dyDescent="0.35">
      <c r="A70" s="15" t="s">
        <v>147</v>
      </c>
      <c r="B70" s="2" t="s">
        <v>148</v>
      </c>
      <c r="C70" s="2" t="s">
        <v>64</v>
      </c>
      <c r="D70" s="3">
        <v>65</v>
      </c>
      <c r="E70" s="6">
        <v>45</v>
      </c>
    </row>
    <row r="71" spans="1:5" x14ac:dyDescent="0.35">
      <c r="A71" s="15" t="s">
        <v>149</v>
      </c>
      <c r="B71" s="2" t="s">
        <v>150</v>
      </c>
      <c r="C71" s="2" t="s">
        <v>67</v>
      </c>
      <c r="D71" s="3">
        <v>75</v>
      </c>
      <c r="E71" s="6">
        <v>50</v>
      </c>
    </row>
    <row r="72" spans="1:5" x14ac:dyDescent="0.35">
      <c r="A72" s="15" t="s">
        <v>151</v>
      </c>
      <c r="B72" s="2" t="s">
        <v>152</v>
      </c>
      <c r="C72" s="2" t="s">
        <v>70</v>
      </c>
      <c r="D72" s="3">
        <v>85</v>
      </c>
      <c r="E72" s="6">
        <v>60</v>
      </c>
    </row>
    <row r="73" spans="1:5" x14ac:dyDescent="0.35">
      <c r="A73" s="15" t="s">
        <v>153</v>
      </c>
      <c r="B73" s="2" t="s">
        <v>154</v>
      </c>
      <c r="C73" s="2" t="s">
        <v>73</v>
      </c>
      <c r="D73" s="3">
        <v>95</v>
      </c>
      <c r="E73" s="6">
        <v>70</v>
      </c>
    </row>
    <row r="74" spans="1:5" x14ac:dyDescent="0.35">
      <c r="A74" s="15" t="s">
        <v>155</v>
      </c>
      <c r="B74" s="2" t="s">
        <v>156</v>
      </c>
      <c r="C74" s="2" t="s">
        <v>76</v>
      </c>
      <c r="D74" s="3">
        <v>120</v>
      </c>
      <c r="E74" s="6">
        <v>80</v>
      </c>
    </row>
    <row r="75" spans="1:5" x14ac:dyDescent="0.35">
      <c r="A75" s="15" t="s">
        <v>157</v>
      </c>
      <c r="B75" s="2" t="s">
        <v>158</v>
      </c>
      <c r="C75" s="2" t="s">
        <v>9</v>
      </c>
      <c r="D75" s="3">
        <v>150</v>
      </c>
      <c r="E75" s="6">
        <v>90</v>
      </c>
    </row>
    <row r="76" spans="1:5" x14ac:dyDescent="0.35">
      <c r="A76" s="15" t="s">
        <v>159</v>
      </c>
      <c r="B76" s="2" t="s">
        <v>160</v>
      </c>
      <c r="C76" s="2" t="s">
        <v>18</v>
      </c>
      <c r="D76" s="3">
        <v>180</v>
      </c>
      <c r="E76" s="6">
        <v>100</v>
      </c>
    </row>
    <row r="77" spans="1:5" x14ac:dyDescent="0.35">
      <c r="A77" s="15" t="s">
        <v>161</v>
      </c>
      <c r="B77" s="2" t="s">
        <v>162</v>
      </c>
      <c r="C77" s="2" t="s">
        <v>21</v>
      </c>
      <c r="D77" s="3">
        <v>220</v>
      </c>
      <c r="E77" s="6">
        <v>110</v>
      </c>
    </row>
    <row r="78" spans="1:5" x14ac:dyDescent="0.35">
      <c r="A78" s="15" t="s">
        <v>163</v>
      </c>
      <c r="B78" s="2" t="s">
        <v>164</v>
      </c>
      <c r="C78" s="2" t="s">
        <v>30</v>
      </c>
      <c r="D78" s="3">
        <v>260</v>
      </c>
      <c r="E78" s="6">
        <v>120</v>
      </c>
    </row>
    <row r="79" spans="1:5" x14ac:dyDescent="0.35">
      <c r="A79" s="15" t="s">
        <v>165</v>
      </c>
      <c r="B79" s="2" t="s">
        <v>166</v>
      </c>
      <c r="C79" s="2" t="s">
        <v>43</v>
      </c>
      <c r="D79" s="3">
        <v>320</v>
      </c>
      <c r="E79" s="6">
        <v>8</v>
      </c>
    </row>
    <row r="80" spans="1:5" x14ac:dyDescent="0.35">
      <c r="A80" s="15" t="s">
        <v>167</v>
      </c>
      <c r="B80" s="2" t="s">
        <v>168</v>
      </c>
      <c r="C80" s="2" t="s">
        <v>64</v>
      </c>
      <c r="D80" s="3">
        <v>380</v>
      </c>
      <c r="E80" s="6">
        <v>12</v>
      </c>
    </row>
    <row r="81" spans="1:5" x14ac:dyDescent="0.35">
      <c r="A81" s="15" t="s">
        <v>169</v>
      </c>
      <c r="B81" s="2" t="s">
        <v>170</v>
      </c>
      <c r="C81" s="2" t="s">
        <v>67</v>
      </c>
      <c r="D81" s="3">
        <v>450</v>
      </c>
      <c r="E81" s="6">
        <v>15</v>
      </c>
    </row>
    <row r="82" spans="1:5" x14ac:dyDescent="0.35">
      <c r="A82" s="15" t="s">
        <v>171</v>
      </c>
      <c r="B82" s="2" t="s">
        <v>172</v>
      </c>
      <c r="C82" s="2" t="s">
        <v>70</v>
      </c>
      <c r="D82" s="3">
        <v>520</v>
      </c>
      <c r="E82" s="6">
        <v>18</v>
      </c>
    </row>
    <row r="83" spans="1:5" x14ac:dyDescent="0.35">
      <c r="A83" s="15" t="s">
        <v>173</v>
      </c>
      <c r="B83" s="2" t="s">
        <v>174</v>
      </c>
      <c r="C83" s="2" t="s">
        <v>73</v>
      </c>
      <c r="D83" s="3">
        <v>650</v>
      </c>
      <c r="E83" s="6">
        <v>20</v>
      </c>
    </row>
    <row r="84" spans="1:5" x14ac:dyDescent="0.35">
      <c r="A84" s="15" t="s">
        <v>175</v>
      </c>
      <c r="B84" s="2" t="s">
        <v>176</v>
      </c>
      <c r="C84" s="2" t="s">
        <v>76</v>
      </c>
      <c r="D84" s="3">
        <v>780</v>
      </c>
      <c r="E84" s="6">
        <v>25</v>
      </c>
    </row>
    <row r="85" spans="1:5" x14ac:dyDescent="0.35">
      <c r="A85" s="15" t="s">
        <v>177</v>
      </c>
      <c r="B85" s="2" t="s">
        <v>178</v>
      </c>
      <c r="C85" s="2" t="s">
        <v>9</v>
      </c>
      <c r="D85" s="3">
        <v>15</v>
      </c>
      <c r="E85" s="6">
        <v>30</v>
      </c>
    </row>
    <row r="86" spans="1:5" x14ac:dyDescent="0.35">
      <c r="A86" s="15" t="s">
        <v>179</v>
      </c>
      <c r="B86" s="2" t="s">
        <v>180</v>
      </c>
      <c r="C86" s="2" t="s">
        <v>18</v>
      </c>
      <c r="D86" s="3">
        <v>25</v>
      </c>
      <c r="E86" s="6">
        <v>35</v>
      </c>
    </row>
    <row r="87" spans="1:5" x14ac:dyDescent="0.35">
      <c r="A87" s="15" t="s">
        <v>181</v>
      </c>
      <c r="B87" s="2" t="s">
        <v>182</v>
      </c>
      <c r="C87" s="2" t="s">
        <v>21</v>
      </c>
      <c r="D87" s="3">
        <v>35</v>
      </c>
      <c r="E87" s="6">
        <v>40</v>
      </c>
    </row>
    <row r="88" spans="1:5" x14ac:dyDescent="0.35">
      <c r="A88" s="15" t="s">
        <v>183</v>
      </c>
      <c r="B88" s="2" t="s">
        <v>184</v>
      </c>
      <c r="C88" s="2" t="s">
        <v>30</v>
      </c>
      <c r="D88" s="3">
        <v>45</v>
      </c>
      <c r="E88" s="6">
        <v>45</v>
      </c>
    </row>
    <row r="89" spans="1:5" x14ac:dyDescent="0.35">
      <c r="A89" s="15" t="s">
        <v>185</v>
      </c>
      <c r="B89" s="2" t="s">
        <v>186</v>
      </c>
      <c r="C89" s="2" t="s">
        <v>43</v>
      </c>
      <c r="D89" s="3">
        <v>55</v>
      </c>
      <c r="E89" s="6">
        <v>50</v>
      </c>
    </row>
    <row r="90" spans="1:5" x14ac:dyDescent="0.35">
      <c r="A90" s="15" t="s">
        <v>187</v>
      </c>
      <c r="B90" s="2" t="s">
        <v>188</v>
      </c>
      <c r="C90" s="2" t="s">
        <v>64</v>
      </c>
      <c r="D90" s="3">
        <v>65</v>
      </c>
      <c r="E90" s="6">
        <v>60</v>
      </c>
    </row>
    <row r="91" spans="1:5" x14ac:dyDescent="0.35">
      <c r="A91" s="15" t="s">
        <v>189</v>
      </c>
      <c r="B91" s="2" t="s">
        <v>190</v>
      </c>
      <c r="C91" s="2" t="s">
        <v>67</v>
      </c>
      <c r="D91" s="3">
        <v>75</v>
      </c>
      <c r="E91" s="6">
        <v>70</v>
      </c>
    </row>
    <row r="92" spans="1:5" x14ac:dyDescent="0.35">
      <c r="A92" s="15" t="s">
        <v>191</v>
      </c>
      <c r="B92" s="2" t="s">
        <v>192</v>
      </c>
      <c r="C92" s="2" t="s">
        <v>70</v>
      </c>
      <c r="D92" s="3">
        <v>85</v>
      </c>
      <c r="E92" s="6">
        <v>80</v>
      </c>
    </row>
    <row r="93" spans="1:5" x14ac:dyDescent="0.35">
      <c r="A93" s="15" t="s">
        <v>193</v>
      </c>
      <c r="B93" s="2" t="s">
        <v>194</v>
      </c>
      <c r="C93" s="2" t="s">
        <v>73</v>
      </c>
      <c r="D93" s="3">
        <v>95</v>
      </c>
      <c r="E93" s="6">
        <v>90</v>
      </c>
    </row>
    <row r="94" spans="1:5" x14ac:dyDescent="0.35">
      <c r="A94" s="15" t="s">
        <v>195</v>
      </c>
      <c r="B94" s="2" t="s">
        <v>196</v>
      </c>
      <c r="C94" s="2" t="s">
        <v>76</v>
      </c>
      <c r="D94" s="3">
        <v>120</v>
      </c>
      <c r="E94" s="6">
        <v>100</v>
      </c>
    </row>
    <row r="95" spans="1:5" x14ac:dyDescent="0.35">
      <c r="A95" s="15" t="s">
        <v>197</v>
      </c>
      <c r="B95" s="2" t="s">
        <v>198</v>
      </c>
      <c r="C95" s="2" t="s">
        <v>9</v>
      </c>
      <c r="D95" s="3">
        <v>150</v>
      </c>
      <c r="E95" s="6">
        <v>110</v>
      </c>
    </row>
    <row r="96" spans="1:5" x14ac:dyDescent="0.35">
      <c r="A96" s="15" t="s">
        <v>199</v>
      </c>
      <c r="B96" s="2" t="s">
        <v>200</v>
      </c>
      <c r="C96" s="2" t="s">
        <v>18</v>
      </c>
      <c r="D96" s="3">
        <v>180</v>
      </c>
      <c r="E96" s="6">
        <v>120</v>
      </c>
    </row>
    <row r="97" spans="1:5" x14ac:dyDescent="0.35">
      <c r="A97" s="15" t="s">
        <v>201</v>
      </c>
      <c r="B97" s="2" t="s">
        <v>202</v>
      </c>
      <c r="C97" s="2" t="s">
        <v>21</v>
      </c>
      <c r="D97" s="3">
        <v>220</v>
      </c>
      <c r="E97" s="6">
        <v>8</v>
      </c>
    </row>
    <row r="98" spans="1:5" x14ac:dyDescent="0.35">
      <c r="A98" s="15" t="s">
        <v>203</v>
      </c>
      <c r="B98" s="2" t="s">
        <v>204</v>
      </c>
      <c r="C98" s="2" t="s">
        <v>30</v>
      </c>
      <c r="D98" s="3">
        <v>260</v>
      </c>
      <c r="E98" s="6">
        <v>12</v>
      </c>
    </row>
    <row r="99" spans="1:5" x14ac:dyDescent="0.35">
      <c r="A99" s="15" t="s">
        <v>205</v>
      </c>
      <c r="B99" s="2" t="s">
        <v>206</v>
      </c>
      <c r="C99" s="2" t="s">
        <v>43</v>
      </c>
      <c r="D99" s="3">
        <v>320</v>
      </c>
      <c r="E99" s="6">
        <v>15</v>
      </c>
    </row>
    <row r="100" spans="1:5" x14ac:dyDescent="0.35">
      <c r="A100" s="15" t="s">
        <v>207</v>
      </c>
      <c r="B100" s="2" t="s">
        <v>208</v>
      </c>
      <c r="C100" s="2" t="s">
        <v>64</v>
      </c>
      <c r="D100" s="3">
        <v>380</v>
      </c>
      <c r="E100" s="6">
        <v>18</v>
      </c>
    </row>
    <row r="101" spans="1:5" x14ac:dyDescent="0.35">
      <c r="A101" s="15" t="s">
        <v>209</v>
      </c>
      <c r="B101" s="2" t="s">
        <v>210</v>
      </c>
      <c r="C101" s="2" t="s">
        <v>67</v>
      </c>
      <c r="D101" s="3">
        <v>450</v>
      </c>
      <c r="E101" s="6">
        <v>20</v>
      </c>
    </row>
    <row r="102" spans="1:5" x14ac:dyDescent="0.35">
      <c r="A102" s="15" t="s">
        <v>211</v>
      </c>
      <c r="B102" s="2" t="s">
        <v>212</v>
      </c>
      <c r="C102" s="2" t="s">
        <v>70</v>
      </c>
      <c r="D102" s="3">
        <v>520</v>
      </c>
      <c r="E102" s="6">
        <v>25</v>
      </c>
    </row>
    <row r="103" spans="1:5" x14ac:dyDescent="0.35">
      <c r="A103" s="15" t="s">
        <v>213</v>
      </c>
      <c r="B103" s="2" t="s">
        <v>214</v>
      </c>
      <c r="C103" s="2" t="s">
        <v>73</v>
      </c>
      <c r="D103" s="3">
        <v>650</v>
      </c>
      <c r="E103" s="6">
        <v>30</v>
      </c>
    </row>
    <row r="104" spans="1:5" x14ac:dyDescent="0.35">
      <c r="A104" s="15" t="s">
        <v>215</v>
      </c>
      <c r="B104" s="2" t="s">
        <v>216</v>
      </c>
      <c r="C104" s="2" t="s">
        <v>76</v>
      </c>
      <c r="D104" s="3">
        <v>780</v>
      </c>
      <c r="E104" s="6">
        <v>35</v>
      </c>
    </row>
    <row r="105" spans="1:5" x14ac:dyDescent="0.35">
      <c r="A105" s="15" t="s">
        <v>217</v>
      </c>
      <c r="B105" s="2" t="s">
        <v>218</v>
      </c>
      <c r="C105" s="2" t="s">
        <v>9</v>
      </c>
      <c r="D105" s="3">
        <v>15</v>
      </c>
      <c r="E105" s="6">
        <v>40</v>
      </c>
    </row>
    <row r="106" spans="1:5" x14ac:dyDescent="0.35">
      <c r="A106" s="15" t="s">
        <v>219</v>
      </c>
      <c r="B106" s="2" t="s">
        <v>220</v>
      </c>
      <c r="C106" s="2" t="s">
        <v>18</v>
      </c>
      <c r="D106" s="3">
        <v>25</v>
      </c>
      <c r="E106" s="6">
        <v>45</v>
      </c>
    </row>
    <row r="107" spans="1:5" x14ac:dyDescent="0.35">
      <c r="A107" s="15" t="s">
        <v>221</v>
      </c>
      <c r="B107" s="2" t="s">
        <v>222</v>
      </c>
      <c r="C107" s="2" t="s">
        <v>21</v>
      </c>
      <c r="D107" s="3">
        <v>35</v>
      </c>
      <c r="E107" s="6">
        <v>50</v>
      </c>
    </row>
    <row r="108" spans="1:5" x14ac:dyDescent="0.35">
      <c r="A108" s="15" t="s">
        <v>223</v>
      </c>
      <c r="B108" s="2" t="s">
        <v>224</v>
      </c>
      <c r="C108" s="2" t="s">
        <v>30</v>
      </c>
      <c r="D108" s="3">
        <v>45</v>
      </c>
      <c r="E108" s="6">
        <v>60</v>
      </c>
    </row>
    <row r="109" spans="1:5" x14ac:dyDescent="0.35">
      <c r="A109" s="15" t="s">
        <v>225</v>
      </c>
      <c r="B109" s="2" t="s">
        <v>226</v>
      </c>
      <c r="C109" s="2" t="s">
        <v>43</v>
      </c>
      <c r="D109" s="3">
        <v>55</v>
      </c>
      <c r="E109" s="6">
        <v>70</v>
      </c>
    </row>
    <row r="110" spans="1:5" x14ac:dyDescent="0.35">
      <c r="A110" s="15" t="s">
        <v>227</v>
      </c>
      <c r="B110" s="2" t="s">
        <v>228</v>
      </c>
      <c r="C110" s="2" t="s">
        <v>64</v>
      </c>
      <c r="D110" s="3">
        <v>65</v>
      </c>
      <c r="E110" s="6">
        <v>80</v>
      </c>
    </row>
    <row r="111" spans="1:5" x14ac:dyDescent="0.35">
      <c r="A111" s="15" t="s">
        <v>229</v>
      </c>
      <c r="B111" s="2" t="s">
        <v>230</v>
      </c>
      <c r="C111" s="2" t="s">
        <v>67</v>
      </c>
      <c r="D111" s="3">
        <v>75</v>
      </c>
      <c r="E111" s="6">
        <v>90</v>
      </c>
    </row>
    <row r="112" spans="1:5" x14ac:dyDescent="0.35">
      <c r="A112" s="15" t="s">
        <v>231</v>
      </c>
      <c r="B112" s="2" t="s">
        <v>232</v>
      </c>
      <c r="C112" s="2" t="s">
        <v>70</v>
      </c>
      <c r="D112" s="3">
        <v>85</v>
      </c>
      <c r="E112" s="6">
        <v>100</v>
      </c>
    </row>
    <row r="113" spans="1:5" x14ac:dyDescent="0.35">
      <c r="A113" s="15" t="s">
        <v>233</v>
      </c>
      <c r="B113" s="2" t="s">
        <v>234</v>
      </c>
      <c r="C113" s="2" t="s">
        <v>73</v>
      </c>
      <c r="D113" s="3">
        <v>95</v>
      </c>
      <c r="E113" s="6">
        <v>110</v>
      </c>
    </row>
    <row r="114" spans="1:5" x14ac:dyDescent="0.35">
      <c r="A114" s="15" t="s">
        <v>235</v>
      </c>
      <c r="B114" s="2" t="s">
        <v>236</v>
      </c>
      <c r="C114" s="2" t="s">
        <v>76</v>
      </c>
      <c r="D114" s="3">
        <v>120</v>
      </c>
      <c r="E114" s="6">
        <v>120</v>
      </c>
    </row>
    <row r="115" spans="1:5" x14ac:dyDescent="0.35">
      <c r="A115" s="15" t="s">
        <v>237</v>
      </c>
      <c r="B115" s="2" t="s">
        <v>238</v>
      </c>
      <c r="C115" s="2" t="s">
        <v>9</v>
      </c>
      <c r="D115" s="3">
        <v>150</v>
      </c>
      <c r="E115" s="6">
        <v>8</v>
      </c>
    </row>
    <row r="116" spans="1:5" x14ac:dyDescent="0.35">
      <c r="A116" s="15" t="s">
        <v>239</v>
      </c>
      <c r="B116" s="2" t="s">
        <v>240</v>
      </c>
      <c r="C116" s="2" t="s">
        <v>18</v>
      </c>
      <c r="D116" s="3">
        <v>180</v>
      </c>
      <c r="E116" s="6">
        <v>12</v>
      </c>
    </row>
    <row r="117" spans="1:5" x14ac:dyDescent="0.35">
      <c r="A117" s="15" t="s">
        <v>241</v>
      </c>
      <c r="B117" s="2" t="s">
        <v>242</v>
      </c>
      <c r="C117" s="2" t="s">
        <v>21</v>
      </c>
      <c r="D117" s="3">
        <v>220</v>
      </c>
      <c r="E117" s="6">
        <v>15</v>
      </c>
    </row>
    <row r="118" spans="1:5" x14ac:dyDescent="0.35">
      <c r="A118" s="15" t="s">
        <v>243</v>
      </c>
      <c r="B118" s="2" t="s">
        <v>244</v>
      </c>
      <c r="C118" s="2" t="s">
        <v>30</v>
      </c>
      <c r="D118" s="3">
        <v>260</v>
      </c>
      <c r="E118" s="6">
        <v>18</v>
      </c>
    </row>
    <row r="119" spans="1:5" x14ac:dyDescent="0.35">
      <c r="A119" s="15" t="s">
        <v>245</v>
      </c>
      <c r="B119" s="2" t="s">
        <v>246</v>
      </c>
      <c r="C119" s="2" t="s">
        <v>43</v>
      </c>
      <c r="D119" s="3">
        <v>320</v>
      </c>
      <c r="E119" s="6">
        <v>20</v>
      </c>
    </row>
    <row r="120" spans="1:5" x14ac:dyDescent="0.35">
      <c r="A120" s="15" t="s">
        <v>247</v>
      </c>
      <c r="B120" s="2" t="s">
        <v>248</v>
      </c>
      <c r="C120" s="2" t="s">
        <v>64</v>
      </c>
      <c r="D120" s="3">
        <v>380</v>
      </c>
      <c r="E120" s="6">
        <v>25</v>
      </c>
    </row>
    <row r="121" spans="1:5" x14ac:dyDescent="0.35">
      <c r="A121" s="15" t="s">
        <v>249</v>
      </c>
      <c r="B121" s="2" t="s">
        <v>250</v>
      </c>
      <c r="C121" s="2" t="s">
        <v>67</v>
      </c>
      <c r="D121" s="3">
        <v>450</v>
      </c>
      <c r="E121" s="6">
        <v>30</v>
      </c>
    </row>
    <row r="122" spans="1:5" x14ac:dyDescent="0.35">
      <c r="A122" s="15" t="s">
        <v>251</v>
      </c>
      <c r="B122" s="2" t="s">
        <v>252</v>
      </c>
      <c r="C122" s="2" t="s">
        <v>70</v>
      </c>
      <c r="D122" s="3">
        <v>520</v>
      </c>
      <c r="E122" s="6">
        <v>35</v>
      </c>
    </row>
    <row r="123" spans="1:5" x14ac:dyDescent="0.35">
      <c r="A123" s="15" t="s">
        <v>253</v>
      </c>
      <c r="B123" s="2" t="s">
        <v>254</v>
      </c>
      <c r="C123" s="2" t="s">
        <v>73</v>
      </c>
      <c r="D123" s="3">
        <v>650</v>
      </c>
      <c r="E123" s="6">
        <v>40</v>
      </c>
    </row>
    <row r="124" spans="1:5" x14ac:dyDescent="0.35">
      <c r="A124" s="15" t="s">
        <v>255</v>
      </c>
      <c r="B124" s="2" t="s">
        <v>256</v>
      </c>
      <c r="C124" s="2" t="s">
        <v>76</v>
      </c>
      <c r="D124" s="3">
        <v>780</v>
      </c>
      <c r="E124" s="6">
        <v>45</v>
      </c>
    </row>
    <row r="125" spans="1:5" x14ac:dyDescent="0.35">
      <c r="A125" s="15" t="s">
        <v>257</v>
      </c>
      <c r="B125" s="2" t="s">
        <v>258</v>
      </c>
      <c r="C125" s="2" t="s">
        <v>9</v>
      </c>
      <c r="D125" s="3">
        <v>15</v>
      </c>
      <c r="E125" s="6">
        <v>50</v>
      </c>
    </row>
    <row r="126" spans="1:5" x14ac:dyDescent="0.35">
      <c r="A126" s="15" t="s">
        <v>259</v>
      </c>
      <c r="B126" s="2" t="s">
        <v>260</v>
      </c>
      <c r="C126" s="2" t="s">
        <v>18</v>
      </c>
      <c r="D126" s="3">
        <v>25</v>
      </c>
      <c r="E126" s="6">
        <v>60</v>
      </c>
    </row>
    <row r="127" spans="1:5" x14ac:dyDescent="0.35">
      <c r="A127" s="15" t="s">
        <v>261</v>
      </c>
      <c r="B127" s="2" t="s">
        <v>262</v>
      </c>
      <c r="C127" s="2" t="s">
        <v>21</v>
      </c>
      <c r="D127" s="3">
        <v>35</v>
      </c>
      <c r="E127" s="6">
        <v>70</v>
      </c>
    </row>
    <row r="128" spans="1:5" x14ac:dyDescent="0.35">
      <c r="A128" s="15" t="s">
        <v>263</v>
      </c>
      <c r="B128" s="2" t="s">
        <v>264</v>
      </c>
      <c r="C128" s="2" t="s">
        <v>30</v>
      </c>
      <c r="D128" s="3">
        <v>45</v>
      </c>
      <c r="E128" s="6">
        <v>80</v>
      </c>
    </row>
    <row r="129" spans="1:5" x14ac:dyDescent="0.35">
      <c r="A129" s="15" t="s">
        <v>265</v>
      </c>
      <c r="B129" s="2" t="s">
        <v>266</v>
      </c>
      <c r="C129" s="2" t="s">
        <v>43</v>
      </c>
      <c r="D129" s="3">
        <v>55</v>
      </c>
      <c r="E129" s="6">
        <v>90</v>
      </c>
    </row>
    <row r="130" spans="1:5" x14ac:dyDescent="0.35">
      <c r="A130" s="15" t="s">
        <v>267</v>
      </c>
      <c r="B130" s="2" t="s">
        <v>268</v>
      </c>
      <c r="C130" s="2" t="s">
        <v>64</v>
      </c>
      <c r="D130" s="3">
        <v>65</v>
      </c>
      <c r="E130" s="6">
        <v>100</v>
      </c>
    </row>
    <row r="131" spans="1:5" x14ac:dyDescent="0.35">
      <c r="A131" s="15" t="s">
        <v>269</v>
      </c>
      <c r="B131" s="2" t="s">
        <v>270</v>
      </c>
      <c r="C131" s="2" t="s">
        <v>67</v>
      </c>
      <c r="D131" s="3">
        <v>75</v>
      </c>
      <c r="E131" s="6">
        <v>110</v>
      </c>
    </row>
    <row r="132" spans="1:5" x14ac:dyDescent="0.35">
      <c r="A132" s="15" t="s">
        <v>271</v>
      </c>
      <c r="B132" s="2" t="s">
        <v>272</v>
      </c>
      <c r="C132" s="2" t="s">
        <v>70</v>
      </c>
      <c r="D132" s="3">
        <v>85</v>
      </c>
      <c r="E132" s="6">
        <v>120</v>
      </c>
    </row>
    <row r="133" spans="1:5" x14ac:dyDescent="0.35">
      <c r="A133" s="15" t="s">
        <v>273</v>
      </c>
      <c r="B133" s="2" t="s">
        <v>274</v>
      </c>
      <c r="C133" s="2" t="s">
        <v>73</v>
      </c>
      <c r="D133" s="3">
        <v>95</v>
      </c>
      <c r="E133" s="6">
        <v>8</v>
      </c>
    </row>
    <row r="134" spans="1:5" x14ac:dyDescent="0.35">
      <c r="A134" s="15" t="s">
        <v>275</v>
      </c>
      <c r="B134" s="2" t="s">
        <v>276</v>
      </c>
      <c r="C134" s="2" t="s">
        <v>76</v>
      </c>
      <c r="D134" s="3">
        <v>120</v>
      </c>
      <c r="E134" s="6">
        <v>12</v>
      </c>
    </row>
    <row r="135" spans="1:5" x14ac:dyDescent="0.35">
      <c r="A135" s="15" t="s">
        <v>277</v>
      </c>
      <c r="B135" s="2" t="s">
        <v>278</v>
      </c>
      <c r="C135" s="2" t="s">
        <v>9</v>
      </c>
      <c r="D135" s="3">
        <v>150</v>
      </c>
      <c r="E135" s="6">
        <v>15</v>
      </c>
    </row>
    <row r="136" spans="1:5" x14ac:dyDescent="0.35">
      <c r="A136" s="15" t="s">
        <v>279</v>
      </c>
      <c r="B136" s="2" t="s">
        <v>280</v>
      </c>
      <c r="C136" s="2" t="s">
        <v>18</v>
      </c>
      <c r="D136" s="3">
        <v>180</v>
      </c>
      <c r="E136" s="6">
        <v>18</v>
      </c>
    </row>
    <row r="137" spans="1:5" x14ac:dyDescent="0.35">
      <c r="A137" s="15" t="s">
        <v>281</v>
      </c>
      <c r="B137" s="2" t="s">
        <v>282</v>
      </c>
      <c r="C137" s="2" t="s">
        <v>21</v>
      </c>
      <c r="D137" s="3">
        <v>220</v>
      </c>
      <c r="E137" s="6">
        <v>20</v>
      </c>
    </row>
    <row r="138" spans="1:5" x14ac:dyDescent="0.35">
      <c r="A138" s="15" t="s">
        <v>283</v>
      </c>
      <c r="B138" s="2" t="s">
        <v>284</v>
      </c>
      <c r="C138" s="2" t="s">
        <v>30</v>
      </c>
      <c r="D138" s="3">
        <v>260</v>
      </c>
      <c r="E138" s="6">
        <v>25</v>
      </c>
    </row>
    <row r="139" spans="1:5" x14ac:dyDescent="0.35">
      <c r="A139" s="15" t="s">
        <v>285</v>
      </c>
      <c r="B139" s="2" t="s">
        <v>286</v>
      </c>
      <c r="C139" s="2" t="s">
        <v>43</v>
      </c>
      <c r="D139" s="3">
        <v>320</v>
      </c>
      <c r="E139" s="6">
        <v>30</v>
      </c>
    </row>
    <row r="140" spans="1:5" x14ac:dyDescent="0.35">
      <c r="A140" s="15" t="s">
        <v>287</v>
      </c>
      <c r="B140" s="2" t="s">
        <v>288</v>
      </c>
      <c r="C140" s="2" t="s">
        <v>64</v>
      </c>
      <c r="D140" s="3">
        <v>380</v>
      </c>
      <c r="E140" s="6">
        <v>35</v>
      </c>
    </row>
    <row r="141" spans="1:5" x14ac:dyDescent="0.35">
      <c r="A141" s="15" t="s">
        <v>289</v>
      </c>
      <c r="B141" s="2" t="s">
        <v>290</v>
      </c>
      <c r="C141" s="2" t="s">
        <v>67</v>
      </c>
      <c r="D141" s="3">
        <v>450</v>
      </c>
      <c r="E141" s="6">
        <v>40</v>
      </c>
    </row>
    <row r="142" spans="1:5" x14ac:dyDescent="0.35">
      <c r="A142" s="15" t="s">
        <v>291</v>
      </c>
      <c r="B142" s="2" t="s">
        <v>292</v>
      </c>
      <c r="C142" s="2" t="s">
        <v>70</v>
      </c>
      <c r="D142" s="3">
        <v>520</v>
      </c>
      <c r="E142" s="6">
        <v>45</v>
      </c>
    </row>
    <row r="143" spans="1:5" x14ac:dyDescent="0.35">
      <c r="A143" s="15" t="s">
        <v>293</v>
      </c>
      <c r="B143" s="2" t="s">
        <v>294</v>
      </c>
      <c r="C143" s="2" t="s">
        <v>73</v>
      </c>
      <c r="D143" s="3">
        <v>650</v>
      </c>
      <c r="E143" s="6">
        <v>50</v>
      </c>
    </row>
    <row r="144" spans="1:5" x14ac:dyDescent="0.35">
      <c r="A144" s="15" t="s">
        <v>295</v>
      </c>
      <c r="B144" s="2" t="s">
        <v>296</v>
      </c>
      <c r="C144" s="2" t="s">
        <v>76</v>
      </c>
      <c r="D144" s="3">
        <v>780</v>
      </c>
      <c r="E144" s="6">
        <v>60</v>
      </c>
    </row>
    <row r="145" spans="1:5" x14ac:dyDescent="0.35">
      <c r="A145" s="15" t="s">
        <v>297</v>
      </c>
      <c r="B145" s="2" t="s">
        <v>298</v>
      </c>
      <c r="C145" s="2" t="s">
        <v>9</v>
      </c>
      <c r="D145" s="3">
        <v>15</v>
      </c>
      <c r="E145" s="6">
        <v>70</v>
      </c>
    </row>
    <row r="146" spans="1:5" x14ac:dyDescent="0.35">
      <c r="A146" s="15" t="s">
        <v>299</v>
      </c>
      <c r="B146" s="2" t="s">
        <v>300</v>
      </c>
      <c r="C146" s="2" t="s">
        <v>18</v>
      </c>
      <c r="D146" s="3">
        <v>25</v>
      </c>
      <c r="E146" s="6">
        <v>80</v>
      </c>
    </row>
    <row r="147" spans="1:5" x14ac:dyDescent="0.35">
      <c r="A147" s="15" t="s">
        <v>301</v>
      </c>
      <c r="B147" s="2" t="s">
        <v>302</v>
      </c>
      <c r="C147" s="2" t="s">
        <v>21</v>
      </c>
      <c r="D147" s="3">
        <v>35</v>
      </c>
      <c r="E147" s="6">
        <v>90</v>
      </c>
    </row>
    <row r="148" spans="1:5" x14ac:dyDescent="0.35">
      <c r="A148" s="15" t="s">
        <v>303</v>
      </c>
      <c r="B148" s="2" t="s">
        <v>304</v>
      </c>
      <c r="C148" s="2" t="s">
        <v>30</v>
      </c>
      <c r="D148" s="3">
        <v>45</v>
      </c>
      <c r="E148" s="6">
        <v>100</v>
      </c>
    </row>
    <row r="149" spans="1:5" x14ac:dyDescent="0.35">
      <c r="A149" s="15" t="s">
        <v>305</v>
      </c>
      <c r="B149" s="2" t="s">
        <v>306</v>
      </c>
      <c r="C149" s="2" t="s">
        <v>43</v>
      </c>
      <c r="D149" s="3">
        <v>55</v>
      </c>
      <c r="E149" s="6">
        <v>110</v>
      </c>
    </row>
    <row r="150" spans="1:5" x14ac:dyDescent="0.35">
      <c r="A150" s="15" t="s">
        <v>307</v>
      </c>
      <c r="B150" s="2" t="s">
        <v>308</v>
      </c>
      <c r="C150" s="2" t="s">
        <v>64</v>
      </c>
      <c r="D150" s="3">
        <v>65</v>
      </c>
      <c r="E150" s="6">
        <v>120</v>
      </c>
    </row>
    <row r="151" spans="1:5" x14ac:dyDescent="0.35">
      <c r="A151" s="15" t="s">
        <v>309</v>
      </c>
      <c r="B151" s="2" t="s">
        <v>310</v>
      </c>
      <c r="C151" s="2" t="s">
        <v>67</v>
      </c>
      <c r="D151" s="3">
        <v>75</v>
      </c>
      <c r="E151" s="6">
        <v>8</v>
      </c>
    </row>
    <row r="152" spans="1:5" x14ac:dyDescent="0.35">
      <c r="A152" s="15" t="s">
        <v>311</v>
      </c>
      <c r="B152" s="2" t="s">
        <v>312</v>
      </c>
      <c r="C152" s="2" t="s">
        <v>70</v>
      </c>
      <c r="D152" s="3">
        <v>85</v>
      </c>
      <c r="E152" s="6">
        <v>12</v>
      </c>
    </row>
    <row r="153" spans="1:5" x14ac:dyDescent="0.35">
      <c r="A153" s="15" t="s">
        <v>313</v>
      </c>
      <c r="B153" s="2" t="s">
        <v>314</v>
      </c>
      <c r="C153" s="2" t="s">
        <v>73</v>
      </c>
      <c r="D153" s="3">
        <v>95</v>
      </c>
      <c r="E153" s="6">
        <v>15</v>
      </c>
    </row>
    <row r="154" spans="1:5" x14ac:dyDescent="0.35">
      <c r="A154" s="15" t="s">
        <v>315</v>
      </c>
      <c r="B154" s="2" t="s">
        <v>316</v>
      </c>
      <c r="C154" s="2" t="s">
        <v>76</v>
      </c>
      <c r="D154" s="3">
        <v>120</v>
      </c>
      <c r="E154" s="6">
        <v>18</v>
      </c>
    </row>
    <row r="155" spans="1:5" x14ac:dyDescent="0.35">
      <c r="A155" s="15" t="s">
        <v>317</v>
      </c>
      <c r="B155" s="2" t="s">
        <v>318</v>
      </c>
      <c r="C155" s="2" t="s">
        <v>9</v>
      </c>
      <c r="D155" s="3">
        <v>150</v>
      </c>
      <c r="E155" s="6">
        <v>20</v>
      </c>
    </row>
    <row r="156" spans="1:5" x14ac:dyDescent="0.35">
      <c r="A156" s="15" t="s">
        <v>319</v>
      </c>
      <c r="B156" s="2" t="s">
        <v>320</v>
      </c>
      <c r="C156" s="2" t="s">
        <v>18</v>
      </c>
      <c r="D156" s="3">
        <v>180</v>
      </c>
      <c r="E156" s="6">
        <v>25</v>
      </c>
    </row>
    <row r="157" spans="1:5" x14ac:dyDescent="0.35">
      <c r="A157" s="15" t="s">
        <v>321</v>
      </c>
      <c r="B157" s="2" t="s">
        <v>322</v>
      </c>
      <c r="C157" s="2" t="s">
        <v>21</v>
      </c>
      <c r="D157" s="3">
        <v>220</v>
      </c>
      <c r="E157" s="6">
        <v>30</v>
      </c>
    </row>
    <row r="158" spans="1:5" x14ac:dyDescent="0.35">
      <c r="A158" s="15" t="s">
        <v>323</v>
      </c>
      <c r="B158" s="2" t="s">
        <v>324</v>
      </c>
      <c r="C158" s="2" t="s">
        <v>30</v>
      </c>
      <c r="D158" s="3">
        <v>260</v>
      </c>
      <c r="E158" s="6">
        <v>35</v>
      </c>
    </row>
    <row r="159" spans="1:5" x14ac:dyDescent="0.35">
      <c r="A159" s="15" t="s">
        <v>325</v>
      </c>
      <c r="B159" s="2" t="s">
        <v>326</v>
      </c>
      <c r="C159" s="2" t="s">
        <v>43</v>
      </c>
      <c r="D159" s="3">
        <v>320</v>
      </c>
      <c r="E159" s="6">
        <v>40</v>
      </c>
    </row>
    <row r="160" spans="1:5" x14ac:dyDescent="0.35">
      <c r="A160" s="15" t="s">
        <v>327</v>
      </c>
      <c r="B160" s="2" t="s">
        <v>328</v>
      </c>
      <c r="C160" s="2" t="s">
        <v>64</v>
      </c>
      <c r="D160" s="3">
        <v>380</v>
      </c>
      <c r="E160" s="6">
        <v>45</v>
      </c>
    </row>
    <row r="161" spans="1:5" x14ac:dyDescent="0.35">
      <c r="A161" s="15" t="s">
        <v>329</v>
      </c>
      <c r="B161" s="2" t="s">
        <v>330</v>
      </c>
      <c r="C161" s="2" t="s">
        <v>67</v>
      </c>
      <c r="D161" s="3">
        <v>450</v>
      </c>
      <c r="E161" s="6">
        <v>50</v>
      </c>
    </row>
    <row r="162" spans="1:5" x14ac:dyDescent="0.35">
      <c r="A162" s="15" t="s">
        <v>331</v>
      </c>
      <c r="B162" s="2" t="s">
        <v>332</v>
      </c>
      <c r="C162" s="2" t="s">
        <v>70</v>
      </c>
      <c r="D162" s="3">
        <v>520</v>
      </c>
      <c r="E162" s="6">
        <v>60</v>
      </c>
    </row>
    <row r="163" spans="1:5" x14ac:dyDescent="0.35">
      <c r="A163" s="15" t="s">
        <v>333</v>
      </c>
      <c r="B163" s="2" t="s">
        <v>334</v>
      </c>
      <c r="C163" s="2" t="s">
        <v>73</v>
      </c>
      <c r="D163" s="3">
        <v>650</v>
      </c>
      <c r="E163" s="6">
        <v>70</v>
      </c>
    </row>
    <row r="164" spans="1:5" x14ac:dyDescent="0.35">
      <c r="A164" s="15" t="s">
        <v>335</v>
      </c>
      <c r="B164" s="2" t="s">
        <v>336</v>
      </c>
      <c r="C164" s="2" t="s">
        <v>76</v>
      </c>
      <c r="D164" s="3">
        <v>780</v>
      </c>
      <c r="E164" s="6">
        <v>80</v>
      </c>
    </row>
    <row r="165" spans="1:5" x14ac:dyDescent="0.35">
      <c r="A165" s="15" t="s">
        <v>337</v>
      </c>
      <c r="B165" s="2" t="s">
        <v>338</v>
      </c>
      <c r="C165" s="2" t="s">
        <v>9</v>
      </c>
      <c r="D165" s="3">
        <v>15</v>
      </c>
      <c r="E165" s="6">
        <v>90</v>
      </c>
    </row>
    <row r="166" spans="1:5" x14ac:dyDescent="0.35">
      <c r="A166" s="15" t="s">
        <v>339</v>
      </c>
      <c r="B166" s="2" t="s">
        <v>340</v>
      </c>
      <c r="C166" s="2" t="s">
        <v>18</v>
      </c>
      <c r="D166" s="3">
        <v>25</v>
      </c>
      <c r="E166" s="6">
        <v>100</v>
      </c>
    </row>
    <row r="167" spans="1:5" x14ac:dyDescent="0.35">
      <c r="A167" s="15" t="s">
        <v>341</v>
      </c>
      <c r="B167" s="2" t="s">
        <v>342</v>
      </c>
      <c r="C167" s="2" t="s">
        <v>21</v>
      </c>
      <c r="D167" s="3">
        <v>35</v>
      </c>
      <c r="E167" s="6">
        <v>110</v>
      </c>
    </row>
    <row r="168" spans="1:5" x14ac:dyDescent="0.35">
      <c r="A168" s="15" t="s">
        <v>343</v>
      </c>
      <c r="B168" s="2" t="s">
        <v>344</v>
      </c>
      <c r="C168" s="2" t="s">
        <v>30</v>
      </c>
      <c r="D168" s="3">
        <v>45</v>
      </c>
      <c r="E168" s="6">
        <v>120</v>
      </c>
    </row>
    <row r="169" spans="1:5" x14ac:dyDescent="0.35">
      <c r="A169" s="15" t="s">
        <v>345</v>
      </c>
      <c r="B169" s="2" t="s">
        <v>346</v>
      </c>
      <c r="C169" s="2" t="s">
        <v>43</v>
      </c>
      <c r="D169" s="3">
        <v>55</v>
      </c>
      <c r="E169" s="6">
        <v>8</v>
      </c>
    </row>
    <row r="170" spans="1:5" x14ac:dyDescent="0.35">
      <c r="A170" s="15" t="s">
        <v>347</v>
      </c>
      <c r="B170" s="2" t="s">
        <v>348</v>
      </c>
      <c r="C170" s="2" t="s">
        <v>64</v>
      </c>
      <c r="D170" s="3">
        <v>65</v>
      </c>
      <c r="E170" s="6">
        <v>12</v>
      </c>
    </row>
    <row r="171" spans="1:5" x14ac:dyDescent="0.35">
      <c r="A171" s="15" t="s">
        <v>349</v>
      </c>
      <c r="B171" s="2" t="s">
        <v>350</v>
      </c>
      <c r="C171" s="2" t="s">
        <v>67</v>
      </c>
      <c r="D171" s="3">
        <v>75</v>
      </c>
      <c r="E171" s="6">
        <v>15</v>
      </c>
    </row>
    <row r="172" spans="1:5" x14ac:dyDescent="0.35">
      <c r="A172" s="15" t="s">
        <v>351</v>
      </c>
      <c r="B172" s="2" t="s">
        <v>352</v>
      </c>
      <c r="C172" s="2" t="s">
        <v>70</v>
      </c>
      <c r="D172" s="3">
        <v>85</v>
      </c>
      <c r="E172" s="6">
        <v>18</v>
      </c>
    </row>
    <row r="173" spans="1:5" x14ac:dyDescent="0.35">
      <c r="A173" s="15" t="s">
        <v>353</v>
      </c>
      <c r="B173" s="2" t="s">
        <v>354</v>
      </c>
      <c r="C173" s="2" t="s">
        <v>73</v>
      </c>
      <c r="D173" s="3">
        <v>95</v>
      </c>
      <c r="E173" s="6">
        <v>20</v>
      </c>
    </row>
    <row r="174" spans="1:5" x14ac:dyDescent="0.35">
      <c r="A174" s="15" t="s">
        <v>355</v>
      </c>
      <c r="B174" s="2" t="s">
        <v>356</v>
      </c>
      <c r="C174" s="2" t="s">
        <v>76</v>
      </c>
      <c r="D174" s="3">
        <v>120</v>
      </c>
      <c r="E174" s="6">
        <v>25</v>
      </c>
    </row>
    <row r="175" spans="1:5" x14ac:dyDescent="0.35">
      <c r="A175" s="15" t="s">
        <v>357</v>
      </c>
      <c r="B175" s="2" t="s">
        <v>358</v>
      </c>
      <c r="C175" s="2" t="s">
        <v>9</v>
      </c>
      <c r="D175" s="3">
        <v>150</v>
      </c>
      <c r="E175" s="6">
        <v>30</v>
      </c>
    </row>
    <row r="176" spans="1:5" x14ac:dyDescent="0.35">
      <c r="A176" s="15" t="s">
        <v>359</v>
      </c>
      <c r="B176" s="2" t="s">
        <v>360</v>
      </c>
      <c r="C176" s="2" t="s">
        <v>18</v>
      </c>
      <c r="D176" s="3">
        <v>180</v>
      </c>
      <c r="E176" s="6">
        <v>35</v>
      </c>
    </row>
    <row r="177" spans="1:5" x14ac:dyDescent="0.35">
      <c r="A177" s="15" t="s">
        <v>361</v>
      </c>
      <c r="B177" s="2" t="s">
        <v>362</v>
      </c>
      <c r="C177" s="2" t="s">
        <v>21</v>
      </c>
      <c r="D177" s="3">
        <v>220</v>
      </c>
      <c r="E177" s="6">
        <v>40</v>
      </c>
    </row>
    <row r="178" spans="1:5" x14ac:dyDescent="0.35">
      <c r="A178" s="15" t="s">
        <v>363</v>
      </c>
      <c r="B178" s="2" t="s">
        <v>364</v>
      </c>
      <c r="C178" s="2" t="s">
        <v>30</v>
      </c>
      <c r="D178" s="3">
        <v>260</v>
      </c>
      <c r="E178" s="6">
        <v>45</v>
      </c>
    </row>
    <row r="179" spans="1:5" x14ac:dyDescent="0.35">
      <c r="A179" s="15" t="s">
        <v>365</v>
      </c>
      <c r="B179" s="2" t="s">
        <v>366</v>
      </c>
      <c r="C179" s="2" t="s">
        <v>43</v>
      </c>
      <c r="D179" s="3">
        <v>320</v>
      </c>
      <c r="E179" s="6">
        <v>50</v>
      </c>
    </row>
    <row r="180" spans="1:5" x14ac:dyDescent="0.35">
      <c r="A180" s="15" t="s">
        <v>367</v>
      </c>
      <c r="B180" s="2" t="s">
        <v>368</v>
      </c>
      <c r="C180" s="2" t="s">
        <v>64</v>
      </c>
      <c r="D180" s="3">
        <v>380</v>
      </c>
      <c r="E180" s="6">
        <v>60</v>
      </c>
    </row>
    <row r="181" spans="1:5" x14ac:dyDescent="0.35">
      <c r="A181" s="15" t="s">
        <v>369</v>
      </c>
      <c r="B181" s="2" t="s">
        <v>370</v>
      </c>
      <c r="C181" s="2" t="s">
        <v>67</v>
      </c>
      <c r="D181" s="3">
        <v>450</v>
      </c>
      <c r="E181" s="6">
        <v>70</v>
      </c>
    </row>
    <row r="182" spans="1:5" x14ac:dyDescent="0.35">
      <c r="A182" s="15" t="s">
        <v>371</v>
      </c>
      <c r="B182" s="2" t="s">
        <v>372</v>
      </c>
      <c r="C182" s="2" t="s">
        <v>70</v>
      </c>
      <c r="D182" s="3">
        <v>520</v>
      </c>
      <c r="E182" s="6">
        <v>80</v>
      </c>
    </row>
    <row r="183" spans="1:5" x14ac:dyDescent="0.35">
      <c r="A183" s="15" t="s">
        <v>373</v>
      </c>
      <c r="B183" s="2" t="s">
        <v>374</v>
      </c>
      <c r="C183" s="2" t="s">
        <v>73</v>
      </c>
      <c r="D183" s="3">
        <v>650</v>
      </c>
      <c r="E183" s="6">
        <v>90</v>
      </c>
    </row>
    <row r="184" spans="1:5" x14ac:dyDescent="0.35">
      <c r="A184" s="15" t="s">
        <v>375</v>
      </c>
      <c r="B184" s="2" t="s">
        <v>376</v>
      </c>
      <c r="C184" s="2" t="s">
        <v>76</v>
      </c>
      <c r="D184" s="3">
        <v>780</v>
      </c>
      <c r="E184" s="6">
        <v>100</v>
      </c>
    </row>
    <row r="185" spans="1:5" x14ac:dyDescent="0.35">
      <c r="A185" s="15" t="s">
        <v>377</v>
      </c>
      <c r="B185" s="2" t="s">
        <v>378</v>
      </c>
      <c r="C185" s="2" t="s">
        <v>9</v>
      </c>
      <c r="D185" s="3">
        <v>15</v>
      </c>
      <c r="E185" s="6">
        <v>110</v>
      </c>
    </row>
    <row r="186" spans="1:5" x14ac:dyDescent="0.35">
      <c r="A186" s="15" t="s">
        <v>379</v>
      </c>
      <c r="B186" s="2" t="s">
        <v>380</v>
      </c>
      <c r="C186" s="2" t="s">
        <v>18</v>
      </c>
      <c r="D186" s="3">
        <v>25</v>
      </c>
      <c r="E186" s="6">
        <v>120</v>
      </c>
    </row>
    <row r="187" spans="1:5" x14ac:dyDescent="0.35">
      <c r="A187" s="15" t="s">
        <v>381</v>
      </c>
      <c r="B187" s="2" t="s">
        <v>382</v>
      </c>
      <c r="C187" s="2" t="s">
        <v>21</v>
      </c>
      <c r="D187" s="3">
        <v>35</v>
      </c>
      <c r="E187" s="6">
        <v>8</v>
      </c>
    </row>
    <row r="188" spans="1:5" x14ac:dyDescent="0.35">
      <c r="A188" s="15" t="s">
        <v>383</v>
      </c>
      <c r="B188" s="2" t="s">
        <v>384</v>
      </c>
      <c r="C188" s="2" t="s">
        <v>30</v>
      </c>
      <c r="D188" s="3">
        <v>45</v>
      </c>
      <c r="E188" s="6">
        <v>12</v>
      </c>
    </row>
    <row r="189" spans="1:5" x14ac:dyDescent="0.35">
      <c r="A189" s="15" t="s">
        <v>385</v>
      </c>
      <c r="B189" s="2" t="s">
        <v>386</v>
      </c>
      <c r="C189" s="2" t="s">
        <v>43</v>
      </c>
      <c r="D189" s="3">
        <v>55</v>
      </c>
      <c r="E189" s="6">
        <v>15</v>
      </c>
    </row>
    <row r="190" spans="1:5" x14ac:dyDescent="0.35">
      <c r="A190" s="15" t="s">
        <v>387</v>
      </c>
      <c r="B190" s="2" t="s">
        <v>388</v>
      </c>
      <c r="C190" s="2" t="s">
        <v>64</v>
      </c>
      <c r="D190" s="3">
        <v>65</v>
      </c>
      <c r="E190" s="6">
        <v>18</v>
      </c>
    </row>
    <row r="191" spans="1:5" x14ac:dyDescent="0.35">
      <c r="A191" s="15" t="s">
        <v>389</v>
      </c>
      <c r="B191" s="2" t="s">
        <v>390</v>
      </c>
      <c r="C191" s="2" t="s">
        <v>67</v>
      </c>
      <c r="D191" s="3">
        <v>75</v>
      </c>
      <c r="E191" s="6">
        <v>20</v>
      </c>
    </row>
    <row r="192" spans="1:5" x14ac:dyDescent="0.35">
      <c r="A192" s="15" t="s">
        <v>391</v>
      </c>
      <c r="B192" s="2" t="s">
        <v>392</v>
      </c>
      <c r="C192" s="2" t="s">
        <v>70</v>
      </c>
      <c r="D192" s="3">
        <v>85</v>
      </c>
      <c r="E192" s="6">
        <v>25</v>
      </c>
    </row>
    <row r="193" spans="1:5" x14ac:dyDescent="0.35">
      <c r="A193" s="15" t="s">
        <v>393</v>
      </c>
      <c r="B193" s="2" t="s">
        <v>394</v>
      </c>
      <c r="C193" s="2" t="s">
        <v>73</v>
      </c>
      <c r="D193" s="3">
        <v>95</v>
      </c>
      <c r="E193" s="6">
        <v>30</v>
      </c>
    </row>
    <row r="194" spans="1:5" x14ac:dyDescent="0.35">
      <c r="A194" s="15" t="s">
        <v>395</v>
      </c>
      <c r="B194" s="2" t="s">
        <v>396</v>
      </c>
      <c r="C194" s="2" t="s">
        <v>76</v>
      </c>
      <c r="D194" s="3">
        <v>120</v>
      </c>
      <c r="E194" s="6">
        <v>35</v>
      </c>
    </row>
    <row r="195" spans="1:5" x14ac:dyDescent="0.35">
      <c r="A195" s="15" t="s">
        <v>397</v>
      </c>
      <c r="B195" s="2" t="s">
        <v>398</v>
      </c>
      <c r="C195" s="2" t="s">
        <v>9</v>
      </c>
      <c r="D195" s="3">
        <v>150</v>
      </c>
      <c r="E195" s="6">
        <v>40</v>
      </c>
    </row>
    <row r="196" spans="1:5" x14ac:dyDescent="0.35">
      <c r="A196" s="15" t="s">
        <v>399</v>
      </c>
      <c r="B196" s="2" t="s">
        <v>400</v>
      </c>
      <c r="C196" s="2" t="s">
        <v>18</v>
      </c>
      <c r="D196" s="3">
        <v>180</v>
      </c>
      <c r="E196" s="6">
        <v>45</v>
      </c>
    </row>
    <row r="197" spans="1:5" x14ac:dyDescent="0.35">
      <c r="A197" s="15" t="s">
        <v>401</v>
      </c>
      <c r="B197" s="2" t="s">
        <v>402</v>
      </c>
      <c r="C197" s="2" t="s">
        <v>21</v>
      </c>
      <c r="D197" s="3">
        <v>220</v>
      </c>
      <c r="E197" s="6">
        <v>50</v>
      </c>
    </row>
    <row r="198" spans="1:5" x14ac:dyDescent="0.35">
      <c r="A198" s="15" t="s">
        <v>403</v>
      </c>
      <c r="B198" s="2" t="s">
        <v>404</v>
      </c>
      <c r="C198" s="2" t="s">
        <v>30</v>
      </c>
      <c r="D198" s="3">
        <v>260</v>
      </c>
      <c r="E198" s="6">
        <v>60</v>
      </c>
    </row>
    <row r="199" spans="1:5" x14ac:dyDescent="0.35">
      <c r="A199" s="15" t="s">
        <v>405</v>
      </c>
      <c r="B199" s="2" t="s">
        <v>406</v>
      </c>
      <c r="C199" s="2" t="s">
        <v>43</v>
      </c>
      <c r="D199" s="3">
        <v>320</v>
      </c>
      <c r="E199" s="6">
        <v>70</v>
      </c>
    </row>
    <row r="200" spans="1:5" x14ac:dyDescent="0.35">
      <c r="A200" s="15" t="s">
        <v>407</v>
      </c>
      <c r="B200" s="2" t="s">
        <v>408</v>
      </c>
      <c r="C200" s="2" t="s">
        <v>64</v>
      </c>
      <c r="D200" s="3">
        <v>380</v>
      </c>
      <c r="E200" s="6">
        <v>80</v>
      </c>
    </row>
    <row r="201" spans="1:5" x14ac:dyDescent="0.35">
      <c r="A201" s="15" t="s">
        <v>409</v>
      </c>
      <c r="B201" s="2" t="s">
        <v>410</v>
      </c>
      <c r="C201" s="2" t="s">
        <v>67</v>
      </c>
      <c r="D201" s="3">
        <v>450</v>
      </c>
      <c r="E201" s="6">
        <v>90</v>
      </c>
    </row>
    <row r="202" spans="1:5" x14ac:dyDescent="0.35">
      <c r="A202" s="15" t="s">
        <v>411</v>
      </c>
      <c r="B202" s="2" t="s">
        <v>412</v>
      </c>
      <c r="C202" s="2" t="s">
        <v>70</v>
      </c>
      <c r="D202" s="3">
        <v>520</v>
      </c>
      <c r="E202" s="6">
        <v>100</v>
      </c>
    </row>
    <row r="203" spans="1:5" x14ac:dyDescent="0.35">
      <c r="A203" s="15" t="s">
        <v>413</v>
      </c>
      <c r="B203" s="2" t="s">
        <v>414</v>
      </c>
      <c r="C203" s="2" t="s">
        <v>73</v>
      </c>
      <c r="D203" s="3">
        <v>650</v>
      </c>
      <c r="E203" s="6">
        <v>110</v>
      </c>
    </row>
    <row r="204" spans="1:5" x14ac:dyDescent="0.35">
      <c r="A204" s="19" t="s">
        <v>415</v>
      </c>
      <c r="B204" s="20" t="s">
        <v>416</v>
      </c>
      <c r="C204" s="20" t="s">
        <v>76</v>
      </c>
      <c r="D204" s="21">
        <v>780</v>
      </c>
      <c r="E204" s="22">
        <v>120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opLeftCell="A7" zoomScaleNormal="100" workbookViewId="0">
      <selection activeCell="F16" sqref="F16"/>
    </sheetView>
  </sheetViews>
  <sheetFormatPr baseColWidth="10" defaultColWidth="8.6328125" defaultRowHeight="14.5" x14ac:dyDescent="0.35"/>
  <cols>
    <col min="1" max="1" width="32.7265625" customWidth="1"/>
    <col min="2" max="2" width="30" customWidth="1"/>
    <col min="3" max="3" width="42" customWidth="1"/>
  </cols>
  <sheetData>
    <row r="1" spans="1:3" ht="27.75" customHeight="1" x14ac:dyDescent="0.35">
      <c r="A1" s="9" t="s">
        <v>417</v>
      </c>
      <c r="B1" s="8"/>
      <c r="C1" s="8"/>
    </row>
    <row r="4" spans="1:3" ht="15" customHeight="1" x14ac:dyDescent="0.35">
      <c r="A4" s="10" t="s">
        <v>418</v>
      </c>
      <c r="B4" s="8"/>
      <c r="C4" s="8"/>
    </row>
    <row r="5" spans="1:3" ht="30" customHeight="1" x14ac:dyDescent="0.35">
      <c r="A5" s="14" t="s">
        <v>419</v>
      </c>
      <c r="B5" s="12"/>
      <c r="C5" s="12"/>
    </row>
    <row r="8" spans="1:3" ht="15" customHeight="1" x14ac:dyDescent="0.35">
      <c r="A8" s="10" t="s">
        <v>439</v>
      </c>
      <c r="B8" s="8"/>
      <c r="C8" s="8"/>
    </row>
    <row r="9" spans="1:3" ht="25.4" customHeight="1" x14ac:dyDescent="0.35">
      <c r="A9" s="23" t="s">
        <v>438</v>
      </c>
      <c r="B9" s="24" t="s">
        <v>421</v>
      </c>
      <c r="C9" s="25" t="s">
        <v>440</v>
      </c>
    </row>
    <row r="10" spans="1:3" ht="15" customHeight="1" x14ac:dyDescent="0.35">
      <c r="A10" s="29" t="s">
        <v>422</v>
      </c>
      <c r="B10" s="30" t="s">
        <v>421</v>
      </c>
      <c r="C10" s="31" t="s">
        <v>441</v>
      </c>
    </row>
    <row r="11" spans="1:3" ht="15" customHeight="1" x14ac:dyDescent="0.35">
      <c r="A11" s="26" t="s">
        <v>37</v>
      </c>
      <c r="B11" s="27" t="s">
        <v>423</v>
      </c>
      <c r="C11" s="32" t="str">
        <f>LOOKUP(A11,Tableau1[Code],Tableau1[Produit])</f>
        <v>Imprimante Laser</v>
      </c>
    </row>
    <row r="12" spans="1:3" ht="15" customHeight="1" x14ac:dyDescent="0.35">
      <c r="A12" s="29" t="s">
        <v>65</v>
      </c>
      <c r="B12" s="30" t="s">
        <v>424</v>
      </c>
      <c r="C12" s="32" t="str">
        <f>LOOKUP('1-RECHERCHE'!A12,Tableau1[Code],Tableau1[Catégorie])</f>
        <v>Réseau</v>
      </c>
    </row>
    <row r="13" spans="1:3" x14ac:dyDescent="0.35">
      <c r="A13" s="33" t="s">
        <v>97</v>
      </c>
      <c r="B13" s="34" t="s">
        <v>425</v>
      </c>
      <c r="C13" s="32">
        <f>LOOKUP(A13,Tableau1[Code],Tableau1[Prix (€)])</f>
        <v>15</v>
      </c>
    </row>
    <row r="14" spans="1:3" x14ac:dyDescent="0.35">
      <c r="A14" s="33" t="s">
        <v>131</v>
      </c>
      <c r="B14" s="34" t="s">
        <v>426</v>
      </c>
      <c r="C14" s="32">
        <f>LOOKUP(A14,Tableau1[Code],Tableau1[Stock])</f>
        <v>12</v>
      </c>
    </row>
    <row r="15" spans="1:3" x14ac:dyDescent="0.35">
      <c r="A15" s="33" t="s">
        <v>161</v>
      </c>
      <c r="B15" s="34" t="s">
        <v>423</v>
      </c>
      <c r="C15" s="32" t="str">
        <f>LOOKUP(A15,Tableau1[Code],Tableau1[Produit])</f>
        <v>Fer à Repasser</v>
      </c>
    </row>
    <row r="16" spans="1:3" x14ac:dyDescent="0.35">
      <c r="A16" s="33" t="s">
        <v>207</v>
      </c>
      <c r="B16" s="34" t="s">
        <v>424</v>
      </c>
      <c r="C16" s="32" t="str">
        <f>LOOKUP(A16,Tableau1[Code],Tableau1[Catégorie])</f>
        <v>Téléphonie</v>
      </c>
    </row>
    <row r="17" spans="1:3" x14ac:dyDescent="0.35">
      <c r="A17" s="33" t="s">
        <v>257</v>
      </c>
      <c r="B17" s="34" t="s">
        <v>425</v>
      </c>
      <c r="C17" s="32">
        <f>LOOKUP(A17,Tableau1[Code],Tableau1[Prix (€)])</f>
        <v>15</v>
      </c>
    </row>
    <row r="18" spans="1:3" x14ac:dyDescent="0.35">
      <c r="A18" s="33" t="s">
        <v>311</v>
      </c>
      <c r="B18" s="34" t="s">
        <v>426</v>
      </c>
      <c r="C18" s="32">
        <f>LOOKUP(A18,Tableau1[Code],Tableau1[Stock])</f>
        <v>12</v>
      </c>
    </row>
    <row r="19" spans="1:3" x14ac:dyDescent="0.35">
      <c r="A19" s="33" t="s">
        <v>369</v>
      </c>
      <c r="B19" s="34" t="s">
        <v>423</v>
      </c>
      <c r="C19" s="32" t="str">
        <f>LOOKUP(A19,Tableau1[Code],Tableau1[Produit])</f>
        <v>Feutres de Couleur</v>
      </c>
    </row>
    <row r="20" spans="1:3" x14ac:dyDescent="0.35">
      <c r="A20" s="36" t="s">
        <v>415</v>
      </c>
      <c r="B20" s="37" t="s">
        <v>425</v>
      </c>
      <c r="C20" s="40">
        <f>LOOKUP(A20,Tableau1[Code],Tableau1[Prix (€)])</f>
        <v>780</v>
      </c>
    </row>
  </sheetData>
  <mergeCells count="4">
    <mergeCell ref="A1:C1"/>
    <mergeCell ref="A8:C8"/>
    <mergeCell ref="A4:C4"/>
    <mergeCell ref="A5:C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>
      <selection activeCell="C14" sqref="C14"/>
    </sheetView>
  </sheetViews>
  <sheetFormatPr baseColWidth="10" defaultColWidth="8.6328125" defaultRowHeight="14.5" x14ac:dyDescent="0.35"/>
  <cols>
    <col min="1" max="1" width="32.7265625" customWidth="1"/>
    <col min="2" max="2" width="30" customWidth="1"/>
    <col min="3" max="3" width="46" customWidth="1"/>
  </cols>
  <sheetData>
    <row r="1" spans="1:3" ht="27.75" customHeight="1" x14ac:dyDescent="0.35">
      <c r="A1" s="9" t="s">
        <v>427</v>
      </c>
      <c r="B1" s="8"/>
      <c r="C1" s="8"/>
    </row>
    <row r="4" spans="1:3" ht="15" customHeight="1" x14ac:dyDescent="0.35">
      <c r="A4" s="10" t="s">
        <v>418</v>
      </c>
      <c r="B4" s="8"/>
      <c r="C4" s="8"/>
    </row>
    <row r="5" spans="1:3" ht="30" customHeight="1" x14ac:dyDescent="0.35">
      <c r="A5" s="14" t="s">
        <v>428</v>
      </c>
      <c r="B5" s="12"/>
      <c r="C5" s="12"/>
    </row>
    <row r="8" spans="1:3" ht="15" customHeight="1" x14ac:dyDescent="0.35">
      <c r="A8" s="10" t="s">
        <v>439</v>
      </c>
      <c r="B8" s="8"/>
      <c r="C8" s="8"/>
    </row>
    <row r="9" spans="1:3" ht="27.75" customHeight="1" x14ac:dyDescent="0.35">
      <c r="A9" s="7"/>
      <c r="B9" s="8"/>
      <c r="C9" s="8"/>
    </row>
    <row r="10" spans="1:3" ht="25.4" customHeight="1" x14ac:dyDescent="0.35">
      <c r="A10" s="23" t="s">
        <v>438</v>
      </c>
      <c r="B10" s="24" t="s">
        <v>421</v>
      </c>
      <c r="C10" s="25" t="s">
        <v>420</v>
      </c>
    </row>
    <row r="11" spans="1:3" ht="15" customHeight="1" x14ac:dyDescent="0.35">
      <c r="A11" s="29" t="s">
        <v>422</v>
      </c>
      <c r="B11" s="30" t="s">
        <v>421</v>
      </c>
      <c r="C11" s="41" t="s">
        <v>446</v>
      </c>
    </row>
    <row r="12" spans="1:3" ht="15" customHeight="1" x14ac:dyDescent="0.35">
      <c r="A12" s="26" t="s">
        <v>19</v>
      </c>
      <c r="B12" s="27" t="s">
        <v>442</v>
      </c>
      <c r="C12" s="32" t="str">
        <f>VLOOKUP(A12,Tableau1[],3,FALSE)</f>
        <v>Mobilier</v>
      </c>
    </row>
    <row r="13" spans="1:3" ht="15" customHeight="1" x14ac:dyDescent="0.35">
      <c r="A13" s="29" t="s">
        <v>79</v>
      </c>
      <c r="B13" s="30" t="s">
        <v>443</v>
      </c>
      <c r="C13" s="31" t="str">
        <f>VLOOKUP(A13,Tableau1[],2,FALSE)</f>
        <v>Montre Connectée</v>
      </c>
    </row>
    <row r="14" spans="1:3" ht="25.4" customHeight="1" x14ac:dyDescent="0.35">
      <c r="A14" s="26" t="s">
        <v>109</v>
      </c>
      <c r="B14" s="27" t="s">
        <v>444</v>
      </c>
      <c r="C14" s="32">
        <f>VLOOKUP(Tableau4[[#This Row],[Les 10 exercices sont différents.]],Tableau1[],5,0)</f>
        <v>40</v>
      </c>
    </row>
    <row r="15" spans="1:3" x14ac:dyDescent="0.35">
      <c r="A15" s="33" t="s">
        <v>153</v>
      </c>
      <c r="B15" s="34" t="s">
        <v>445</v>
      </c>
      <c r="C15" s="35">
        <f>VLOOKUP(A15,Tableau1[],4,FALSE)</f>
        <v>95</v>
      </c>
    </row>
    <row r="16" spans="1:3" x14ac:dyDescent="0.35">
      <c r="A16" s="33" t="s">
        <v>191</v>
      </c>
      <c r="B16" s="34" t="s">
        <v>424</v>
      </c>
      <c r="C16" s="35" t="str">
        <f>VLOOKUP(A16,Tableau1[],3,0)</f>
        <v>Accessoires</v>
      </c>
    </row>
    <row r="17" spans="1:3" x14ac:dyDescent="0.35">
      <c r="A17" s="33" t="s">
        <v>233</v>
      </c>
      <c r="B17" s="34" t="s">
        <v>443</v>
      </c>
      <c r="C17" s="35" t="str">
        <f>VLOOKUP(A17,Tableau1[],2,0)</f>
        <v>Mini PC</v>
      </c>
    </row>
    <row r="18" spans="1:3" x14ac:dyDescent="0.35">
      <c r="A18" s="33" t="s">
        <v>281</v>
      </c>
      <c r="B18" s="34" t="s">
        <v>444</v>
      </c>
      <c r="C18" s="35">
        <f>VLOOKUP(A18,Tableau1[],5,0)</f>
        <v>20</v>
      </c>
    </row>
    <row r="19" spans="1:3" x14ac:dyDescent="0.35">
      <c r="A19" s="33" t="s">
        <v>327</v>
      </c>
      <c r="B19" s="34" t="s">
        <v>445</v>
      </c>
      <c r="C19" s="35">
        <f>VLOOKUP(A19,Tableau1[],4,0)</f>
        <v>380</v>
      </c>
    </row>
    <row r="20" spans="1:3" x14ac:dyDescent="0.35">
      <c r="A20" s="33" t="s">
        <v>377</v>
      </c>
      <c r="B20" s="34" t="s">
        <v>442</v>
      </c>
      <c r="C20" s="35" t="str">
        <f>VLOOKUP(A20,Tableau1[],3,0)</f>
        <v>Informatique</v>
      </c>
    </row>
    <row r="21" spans="1:3" x14ac:dyDescent="0.35">
      <c r="A21" s="36" t="s">
        <v>413</v>
      </c>
      <c r="B21" s="37" t="s">
        <v>443</v>
      </c>
      <c r="C21" s="38" t="str">
        <f>VLOOKUP(A21,Tableau1[],2,0)</f>
        <v>Thermos</v>
      </c>
    </row>
  </sheetData>
  <mergeCells count="5">
    <mergeCell ref="A1:C1"/>
    <mergeCell ref="A8:C8"/>
    <mergeCell ref="A9:C9"/>
    <mergeCell ref="A4:C4"/>
    <mergeCell ref="A5:C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"/>
  <sheetViews>
    <sheetView topLeftCell="A7" zoomScaleNormal="100" workbookViewId="0">
      <selection activeCell="D16" sqref="D16"/>
    </sheetView>
  </sheetViews>
  <sheetFormatPr baseColWidth="10" defaultColWidth="8.6328125" defaultRowHeight="14.5" x14ac:dyDescent="0.35"/>
  <cols>
    <col min="1" max="1" width="16" customWidth="1"/>
    <col min="2" max="2" width="28.453125" customWidth="1"/>
    <col min="3" max="8" width="16" customWidth="1"/>
    <col min="9" max="9" width="19" bestFit="1" customWidth="1"/>
    <col min="10" max="10" width="13.54296875" bestFit="1" customWidth="1"/>
    <col min="11" max="11" width="10.453125" bestFit="1" customWidth="1"/>
    <col min="13" max="13" width="14.90625" bestFit="1" customWidth="1"/>
    <col min="14" max="14" width="13.453125" bestFit="1" customWidth="1"/>
    <col min="15" max="15" width="15.453125" bestFit="1" customWidth="1"/>
    <col min="16" max="16" width="20.54296875" bestFit="1" customWidth="1"/>
    <col min="17" max="17" width="11.36328125" bestFit="1" customWidth="1"/>
    <col min="19" max="19" width="19.08984375" bestFit="1" customWidth="1"/>
    <col min="20" max="20" width="8.36328125" bestFit="1" customWidth="1"/>
    <col min="21" max="21" width="9" customWidth="1"/>
  </cols>
  <sheetData>
    <row r="1" spans="1:21" ht="27.75" customHeight="1" x14ac:dyDescent="0.35">
      <c r="A1" s="9" t="s">
        <v>429</v>
      </c>
      <c r="B1" s="8"/>
      <c r="C1" s="8"/>
      <c r="D1" s="8"/>
      <c r="E1" s="8"/>
      <c r="F1" s="8"/>
      <c r="G1" s="8"/>
      <c r="H1" s="8"/>
    </row>
    <row r="2" spans="1:21" ht="27.75" customHeight="1" x14ac:dyDescent="0.35">
      <c r="A2" s="46"/>
    </row>
    <row r="3" spans="1:21" ht="15" customHeight="1" x14ac:dyDescent="0.35">
      <c r="A3" s="10" t="s">
        <v>418</v>
      </c>
      <c r="B3" s="8"/>
      <c r="C3" s="8"/>
      <c r="D3" s="8"/>
      <c r="E3" s="8"/>
      <c r="F3" s="8"/>
      <c r="G3" s="8"/>
      <c r="H3" s="8"/>
    </row>
    <row r="4" spans="1:21" ht="30" customHeight="1" x14ac:dyDescent="0.35">
      <c r="A4" s="14" t="s">
        <v>430</v>
      </c>
      <c r="B4" s="12"/>
      <c r="C4" s="12"/>
      <c r="D4" s="12"/>
      <c r="E4" s="12"/>
      <c r="F4" s="12"/>
      <c r="G4" s="12"/>
      <c r="H4" s="13"/>
    </row>
    <row r="5" spans="1:21" ht="15" customHeight="1" x14ac:dyDescent="0.35">
      <c r="A5" s="10" t="s">
        <v>431</v>
      </c>
      <c r="B5" s="8"/>
      <c r="C5" s="8"/>
      <c r="D5" s="8"/>
      <c r="E5" s="8"/>
      <c r="F5" s="8"/>
      <c r="G5" s="8"/>
      <c r="H5" s="8"/>
    </row>
    <row r="6" spans="1:21" x14ac:dyDescent="0.35">
      <c r="A6" s="39" t="s">
        <v>2</v>
      </c>
      <c r="B6" s="39" t="s">
        <v>7</v>
      </c>
      <c r="C6" s="39" t="s">
        <v>10</v>
      </c>
      <c r="D6" s="39" t="s">
        <v>12</v>
      </c>
      <c r="E6" s="39" t="s">
        <v>14</v>
      </c>
      <c r="F6" s="39" t="s">
        <v>16</v>
      </c>
      <c r="G6" s="39" t="s">
        <v>19</v>
      </c>
      <c r="H6" s="42" t="s">
        <v>22</v>
      </c>
      <c r="I6" s="43" t="s">
        <v>24</v>
      </c>
      <c r="J6" s="43" t="s">
        <v>26</v>
      </c>
      <c r="K6" s="43" t="s">
        <v>28</v>
      </c>
      <c r="L6" s="43" t="s">
        <v>31</v>
      </c>
      <c r="M6" s="43" t="s">
        <v>33</v>
      </c>
      <c r="N6" s="43" t="s">
        <v>35</v>
      </c>
      <c r="O6" s="43" t="s">
        <v>37</v>
      </c>
      <c r="P6" s="43" t="s">
        <v>39</v>
      </c>
      <c r="Q6" s="43" t="s">
        <v>41</v>
      </c>
      <c r="R6" s="43" t="s">
        <v>44</v>
      </c>
      <c r="S6" s="43" t="s">
        <v>46</v>
      </c>
      <c r="T6" s="43" t="s">
        <v>48</v>
      </c>
      <c r="U6" s="43" t="s">
        <v>50</v>
      </c>
    </row>
    <row r="7" spans="1:21" ht="27" x14ac:dyDescent="0.35">
      <c r="A7" s="30" t="s">
        <v>3</v>
      </c>
      <c r="B7" s="30" t="s">
        <v>8</v>
      </c>
      <c r="C7" s="30" t="s">
        <v>11</v>
      </c>
      <c r="D7" s="30" t="s">
        <v>13</v>
      </c>
      <c r="E7" s="30" t="s">
        <v>15</v>
      </c>
      <c r="F7" s="30" t="s">
        <v>17</v>
      </c>
      <c r="G7" s="30" t="s">
        <v>20</v>
      </c>
      <c r="H7" s="30" t="s">
        <v>23</v>
      </c>
      <c r="I7" s="34" t="s">
        <v>25</v>
      </c>
      <c r="J7" s="34" t="s">
        <v>27</v>
      </c>
      <c r="K7" s="34" t="s">
        <v>29</v>
      </c>
      <c r="L7" s="34" t="s">
        <v>32</v>
      </c>
      <c r="M7" s="34" t="s">
        <v>34</v>
      </c>
      <c r="N7" s="34" t="s">
        <v>36</v>
      </c>
      <c r="O7" s="34" t="s">
        <v>38</v>
      </c>
      <c r="P7" s="34" t="s">
        <v>40</v>
      </c>
      <c r="Q7" s="34" t="s">
        <v>42</v>
      </c>
      <c r="R7" s="34" t="s">
        <v>45</v>
      </c>
      <c r="S7" s="34" t="s">
        <v>47</v>
      </c>
      <c r="T7" s="34" t="s">
        <v>49</v>
      </c>
      <c r="U7" s="34" t="s">
        <v>51</v>
      </c>
    </row>
    <row r="8" spans="1:21" x14ac:dyDescent="0.35">
      <c r="A8" s="27" t="s">
        <v>5</v>
      </c>
      <c r="B8" s="27">
        <v>549</v>
      </c>
      <c r="C8" s="27">
        <v>19</v>
      </c>
      <c r="D8" s="27">
        <v>45</v>
      </c>
      <c r="E8" s="27">
        <v>139</v>
      </c>
      <c r="F8" s="27">
        <v>59</v>
      </c>
      <c r="G8" s="27">
        <v>129</v>
      </c>
      <c r="H8" s="27">
        <v>320</v>
      </c>
      <c r="I8" s="34">
        <v>25</v>
      </c>
      <c r="J8" s="34">
        <v>65</v>
      </c>
      <c r="K8" s="34">
        <v>4</v>
      </c>
      <c r="L8" s="34">
        <v>6</v>
      </c>
      <c r="M8" s="34">
        <v>3</v>
      </c>
      <c r="N8" s="34">
        <v>12</v>
      </c>
      <c r="O8" s="34">
        <v>210</v>
      </c>
      <c r="P8" s="34">
        <v>75</v>
      </c>
      <c r="Q8" s="34">
        <v>95</v>
      </c>
      <c r="R8" s="34">
        <v>29</v>
      </c>
      <c r="S8" s="34">
        <v>34</v>
      </c>
      <c r="T8" s="34">
        <v>55</v>
      </c>
      <c r="U8" s="34">
        <v>27</v>
      </c>
    </row>
    <row r="9" spans="1:21" x14ac:dyDescent="0.35">
      <c r="A9" s="30" t="s">
        <v>6</v>
      </c>
      <c r="B9" s="30">
        <v>12</v>
      </c>
      <c r="C9" s="30">
        <v>85</v>
      </c>
      <c r="D9" s="30">
        <v>30</v>
      </c>
      <c r="E9" s="30">
        <v>20</v>
      </c>
      <c r="F9" s="30">
        <v>40</v>
      </c>
      <c r="G9" s="30">
        <v>15</v>
      </c>
      <c r="H9" s="30">
        <v>8</v>
      </c>
      <c r="I9" s="34">
        <v>50</v>
      </c>
      <c r="J9" s="34">
        <v>22</v>
      </c>
      <c r="K9" s="34">
        <v>200</v>
      </c>
      <c r="L9" s="34">
        <v>150</v>
      </c>
      <c r="M9" s="34">
        <v>180</v>
      </c>
      <c r="N9" s="34">
        <v>90</v>
      </c>
      <c r="O9" s="34">
        <v>10</v>
      </c>
      <c r="P9" s="34">
        <v>35</v>
      </c>
      <c r="Q9" s="34">
        <v>18</v>
      </c>
      <c r="R9" s="34">
        <v>60</v>
      </c>
      <c r="S9" s="34">
        <v>45</v>
      </c>
      <c r="T9" s="34">
        <v>25</v>
      </c>
      <c r="U9" s="34">
        <v>38</v>
      </c>
    </row>
    <row r="12" spans="1:21" ht="15" customHeight="1" x14ac:dyDescent="0.35">
      <c r="A12" s="44" t="s">
        <v>450</v>
      </c>
      <c r="B12" s="8"/>
      <c r="C12" s="8"/>
      <c r="D12" s="8"/>
      <c r="E12" s="8"/>
      <c r="F12" s="8"/>
      <c r="G12" s="8"/>
      <c r="H12" s="8"/>
    </row>
    <row r="13" spans="1:21" ht="19.5" customHeight="1" x14ac:dyDescent="0.35">
      <c r="A13" s="7"/>
      <c r="B13" s="8"/>
      <c r="C13" s="8"/>
      <c r="D13" s="8"/>
      <c r="E13" s="8"/>
      <c r="F13" s="8"/>
      <c r="G13" s="8"/>
      <c r="H13" s="8"/>
    </row>
    <row r="14" spans="1:21" ht="25.4" customHeight="1" x14ac:dyDescent="0.35">
      <c r="A14" s="1" t="s">
        <v>422</v>
      </c>
      <c r="B14" s="1" t="s">
        <v>421</v>
      </c>
      <c r="C14" s="47" t="s">
        <v>420</v>
      </c>
    </row>
    <row r="15" spans="1:21" ht="25.4" customHeight="1" x14ac:dyDescent="0.35">
      <c r="A15" s="4" t="s">
        <v>31</v>
      </c>
      <c r="B15" s="48" t="s">
        <v>445</v>
      </c>
      <c r="C15" s="49">
        <f>HLOOKUP(A15,A6:U9,3,0)</f>
        <v>6</v>
      </c>
      <c r="G15" s="5"/>
    </row>
    <row r="16" spans="1:21" x14ac:dyDescent="0.35">
      <c r="A16" s="45" t="s">
        <v>26</v>
      </c>
      <c r="B16" s="45" t="s">
        <v>444</v>
      </c>
      <c r="C16" s="50">
        <f>HLOOKUP(A16,A6:U9,4,FALSE)</f>
        <v>22</v>
      </c>
      <c r="G16" s="6"/>
    </row>
    <row r="17" spans="1:7" ht="27" x14ac:dyDescent="0.35">
      <c r="A17" s="4" t="s">
        <v>12</v>
      </c>
      <c r="B17" s="48" t="s">
        <v>443</v>
      </c>
      <c r="C17" s="49" t="str">
        <f>HLOOKUP(A17,A6:U9,2,0)</f>
        <v>Clavier Mécanique</v>
      </c>
      <c r="G17" s="5"/>
    </row>
    <row r="18" spans="1:7" x14ac:dyDescent="0.35">
      <c r="A18" t="s">
        <v>37</v>
      </c>
      <c r="B18" t="s">
        <v>445</v>
      </c>
      <c r="C18" s="51">
        <f>HLOOKUP(A18,A6:U9,3,0)</f>
        <v>210</v>
      </c>
    </row>
    <row r="19" spans="1:7" x14ac:dyDescent="0.35">
      <c r="A19" t="s">
        <v>16</v>
      </c>
      <c r="B19" t="s">
        <v>444</v>
      </c>
      <c r="C19" s="51">
        <f>HLOOKUP(A19,A6:U9,4,0)</f>
        <v>40</v>
      </c>
    </row>
    <row r="20" spans="1:7" x14ac:dyDescent="0.35">
      <c r="A20" t="s">
        <v>44</v>
      </c>
      <c r="B20" t="s">
        <v>451</v>
      </c>
      <c r="C20" s="51" t="str">
        <f>HLOOKUP(A20,A6:U9,2,0)</f>
        <v>Bouilloire Électrique</v>
      </c>
    </row>
  </sheetData>
  <mergeCells count="6">
    <mergeCell ref="A13:H13"/>
    <mergeCell ref="A5:H5"/>
    <mergeCell ref="A1:H1"/>
    <mergeCell ref="A3:H3"/>
    <mergeCell ref="A4:H4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zoomScaleNormal="100" workbookViewId="0">
      <selection activeCell="C21" sqref="C21"/>
    </sheetView>
  </sheetViews>
  <sheetFormatPr baseColWidth="10" defaultColWidth="8.6328125" defaultRowHeight="14.5" x14ac:dyDescent="0.35"/>
  <cols>
    <col min="1" max="1" width="32.1796875" customWidth="1"/>
    <col min="2" max="2" width="34" customWidth="1"/>
    <col min="3" max="3" width="48" customWidth="1"/>
  </cols>
  <sheetData>
    <row r="1" spans="1:3" ht="27.75" customHeight="1" x14ac:dyDescent="0.35">
      <c r="A1" s="9" t="s">
        <v>432</v>
      </c>
      <c r="B1" s="8"/>
      <c r="C1" s="8"/>
    </row>
    <row r="3" spans="1:3" ht="15" customHeight="1" x14ac:dyDescent="0.35">
      <c r="A3" s="10" t="s">
        <v>418</v>
      </c>
      <c r="B3" s="8"/>
      <c r="C3" s="8"/>
    </row>
    <row r="4" spans="1:3" ht="30" customHeight="1" x14ac:dyDescent="0.35">
      <c r="A4" s="14" t="s">
        <v>433</v>
      </c>
      <c r="B4" s="12"/>
      <c r="C4" s="12"/>
    </row>
    <row r="5" spans="1:3" ht="15.75" customHeight="1" x14ac:dyDescent="0.35">
      <c r="A5" s="11"/>
      <c r="B5" s="8"/>
      <c r="C5" s="8"/>
    </row>
    <row r="8" spans="1:3" ht="15" customHeight="1" x14ac:dyDescent="0.35">
      <c r="A8" s="10" t="s">
        <v>447</v>
      </c>
      <c r="B8" s="8"/>
      <c r="C8" s="8"/>
    </row>
    <row r="9" spans="1:3" ht="25.5" customHeight="1" x14ac:dyDescent="0.35">
      <c r="A9" s="23" t="s">
        <v>448</v>
      </c>
      <c r="B9" s="24" t="s">
        <v>421</v>
      </c>
      <c r="C9" s="25" t="s">
        <v>420</v>
      </c>
    </row>
    <row r="10" spans="1:3" ht="25.4" customHeight="1" x14ac:dyDescent="0.35">
      <c r="A10" s="26" t="s">
        <v>422</v>
      </c>
      <c r="B10" s="27" t="s">
        <v>421</v>
      </c>
      <c r="C10" s="28" t="s">
        <v>449</v>
      </c>
    </row>
    <row r="11" spans="1:3" ht="15" customHeight="1" x14ac:dyDescent="0.35">
      <c r="A11" s="29" t="s">
        <v>39</v>
      </c>
      <c r="B11" s="30" t="s">
        <v>434</v>
      </c>
      <c r="C11" s="31" t="str">
        <f>_xlfn.XLOOKUP(A11,Tableau1[Code],Tableau1[Produit])</f>
        <v>Disque Dur Externe 1To</v>
      </c>
    </row>
    <row r="12" spans="1:3" ht="25.4" customHeight="1" x14ac:dyDescent="0.35">
      <c r="A12" s="26" t="s">
        <v>83</v>
      </c>
      <c r="B12" s="27" t="s">
        <v>435</v>
      </c>
      <c r="C12" s="32" t="str">
        <f>_xlfn.XLOOKUP(A12,Tableau1[Code],Tableau1[Catégorie])</f>
        <v>Papeterie</v>
      </c>
    </row>
    <row r="13" spans="1:3" x14ac:dyDescent="0.35">
      <c r="A13" s="33" t="s">
        <v>121</v>
      </c>
      <c r="B13" s="34" t="s">
        <v>436</v>
      </c>
      <c r="C13" s="35">
        <f>_xlfn.XLOOKUP(A13,Tableau1[Code],Tableau1[Prix (€)])</f>
        <v>220</v>
      </c>
    </row>
    <row r="14" spans="1:3" x14ac:dyDescent="0.35">
      <c r="A14" s="33" t="s">
        <v>159</v>
      </c>
      <c r="B14" s="34" t="s">
        <v>437</v>
      </c>
      <c r="C14" s="35">
        <f>_xlfn.XLOOKUP(A14,Tableau1[Code],Tableau1[Stock])</f>
        <v>100</v>
      </c>
    </row>
    <row r="15" spans="1:3" x14ac:dyDescent="0.35">
      <c r="A15" s="33" t="s">
        <v>197</v>
      </c>
      <c r="B15" s="34" t="s">
        <v>434</v>
      </c>
      <c r="C15" s="35" t="str">
        <f>_xlfn.XLOOKUP(A15,Tableau1[Code],Tableau1[Produit])</f>
        <v>Bibliothèque</v>
      </c>
    </row>
    <row r="16" spans="1:3" x14ac:dyDescent="0.35">
      <c r="A16" s="33" t="s">
        <v>249</v>
      </c>
      <c r="B16" s="34" t="s">
        <v>435</v>
      </c>
      <c r="C16" s="35" t="str">
        <f>_xlfn.XLOOKUP(A16,Tableau1[Code],Tableau1[Catégorie])</f>
        <v>Réseau</v>
      </c>
    </row>
    <row r="17" spans="1:3" x14ac:dyDescent="0.35">
      <c r="A17" s="33" t="s">
        <v>293</v>
      </c>
      <c r="B17" s="34" t="s">
        <v>436</v>
      </c>
      <c r="C17" s="35">
        <f>_xlfn.XLOOKUP(A17,Tableau1[Code],Tableau1[Prix (€)])</f>
        <v>650</v>
      </c>
    </row>
    <row r="18" spans="1:3" x14ac:dyDescent="0.35">
      <c r="A18" s="36" t="s">
        <v>341</v>
      </c>
      <c r="B18" s="37" t="s">
        <v>437</v>
      </c>
      <c r="C18" s="38">
        <f>_xlfn.XLOOKUP(A18,Tableau1[Code],Tableau1[Stock])</f>
        <v>110</v>
      </c>
    </row>
  </sheetData>
  <mergeCells count="5">
    <mergeCell ref="A3:C3"/>
    <mergeCell ref="A8:C8"/>
    <mergeCell ref="A4:C4"/>
    <mergeCell ref="A1:C1"/>
    <mergeCell ref="A5:C5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Base_Produits</vt:lpstr>
      <vt:lpstr>1-RECHERCHE</vt:lpstr>
      <vt:lpstr>2-RECHERCHEV</vt:lpstr>
      <vt:lpstr>3-RECHERCHEH</vt:lpstr>
      <vt:lpstr>4-RECHERCHEX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NANGA ALEXIS CAMARA</cp:lastModifiedBy>
  <cp:revision>0</cp:revision>
  <dcterms:created xsi:type="dcterms:W3CDTF">2026-09-24T05:48:48Z</dcterms:created>
  <dcterms:modified xsi:type="dcterms:W3CDTF">2026-09-25T18:17:37Z</dcterms:modified>
  <dc:language>en-US</dc:language>
</cp:coreProperties>
</file>