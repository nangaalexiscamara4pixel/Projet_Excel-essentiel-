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Pictures\Projet_Portfolio\excel\"/>
    </mc:Choice>
  </mc:AlternateContent>
  <xr:revisionPtr revIDLastSave="0" documentId="8_{A8F02B65-BA29-40EB-AE71-2051DD6A67BF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Fonctions Si" sheetId="9" r:id="rId1"/>
    <sheet name="Fonction Et" sheetId="10" r:id="rId2"/>
    <sheet name="Fonction Ou" sheetId="11" r:id="rId3"/>
    <sheet name="Si Conditions" sheetId="12" r:id="rId4"/>
    <sheet name="Fonctions dates" sheetId="13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3" l="1"/>
  <c r="G6" i="13"/>
  <c r="F7" i="13"/>
  <c r="F8" i="13"/>
  <c r="F6" i="13"/>
  <c r="E7" i="13"/>
  <c r="E8" i="13"/>
  <c r="E6" i="13"/>
  <c r="D7" i="13"/>
  <c r="D8" i="13"/>
  <c r="D6" i="13"/>
  <c r="C7" i="13"/>
  <c r="C8" i="13"/>
  <c r="C6" i="13"/>
  <c r="C7" i="12" a="1"/>
  <c r="C7" i="12" s="1"/>
  <c r="C8" i="12" a="1"/>
  <c r="C8" i="12" s="1"/>
  <c r="C9" i="12" a="1"/>
  <c r="C9" i="12" s="1"/>
  <c r="C6" i="12" a="1"/>
  <c r="C6" i="12" s="1"/>
  <c r="E6" i="11"/>
  <c r="E7" i="11"/>
  <c r="E8" i="11"/>
  <c r="E5" i="11"/>
  <c r="E6" i="10"/>
  <c r="E7" i="10"/>
  <c r="E8" i="10"/>
  <c r="E9" i="10"/>
  <c r="E5" i="10"/>
  <c r="D6" i="11"/>
  <c r="D7" i="11"/>
  <c r="D8" i="11"/>
  <c r="D5" i="11"/>
  <c r="D8" i="10"/>
  <c r="D6" i="10"/>
  <c r="D7" i="10"/>
  <c r="D9" i="10"/>
  <c r="D5" i="10"/>
  <c r="C12" i="9"/>
  <c r="C11" i="9"/>
  <c r="C10" i="9"/>
  <c r="C9" i="9"/>
  <c r="C8" i="9"/>
  <c r="C7" i="9"/>
  <c r="C6" i="9"/>
  <c r="C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<sst xmlns="http://schemas.openxmlformats.org/spreadsheetml/2006/main" count="61" uniqueCount="56">
  <si>
    <t>Nom</t>
  </si>
  <si>
    <t>Note (/20)</t>
  </si>
  <si>
    <t>Mention</t>
  </si>
  <si>
    <t>Amina Belkacem</t>
  </si>
  <si>
    <t>Karim Haddad</t>
  </si>
  <si>
    <t>Sofia Martin</t>
  </si>
  <si>
    <t>Yassine Amrani</t>
  </si>
  <si>
    <t>Nora Cissé</t>
  </si>
  <si>
    <t>Rania Fofana</t>
  </si>
  <si>
    <t>Malik Diarra</t>
  </si>
  <si>
    <t>Lina Benali</t>
  </si>
  <si>
    <t>Règle : ≥16 Félicitations · ≥14 Bien · ≥12 Assez Bien · ≥10 Passable · sinon Insuffisant.</t>
  </si>
  <si>
    <t>Ancienneté (ans)</t>
  </si>
  <si>
    <t>Note évaluation (/20)</t>
  </si>
  <si>
    <t>Prime accordée</t>
  </si>
  <si>
    <t>Julien Roche</t>
  </si>
  <si>
    <t>Camille Dubois</t>
  </si>
  <si>
    <t>Nassim Kader</t>
  </si>
  <si>
    <t>Elise Fontaine</t>
  </si>
  <si>
    <t>Thomas Weber</t>
  </si>
  <si>
    <t>Règle : la prime est accordée si Ancienneté ≥ 2 ans ET Note évaluation ≥ 14.</t>
  </si>
  <si>
    <t>Éligible formation</t>
  </si>
  <si>
    <t>Sophie Nguyen</t>
  </si>
  <si>
    <t>Adama Traoré</t>
  </si>
  <si>
    <t>Paul Girard</t>
  </si>
  <si>
    <t>Chloé Lambert</t>
  </si>
  <si>
    <t>Règle : éligible si Ancienneté ≥ 5 ans OU Note évaluation ≥ 16.</t>
  </si>
  <si>
    <t>Vendeur</t>
  </si>
  <si>
    <t>Chiffre d'affaires (€)</t>
  </si>
  <si>
    <t>Catégorie</t>
  </si>
  <si>
    <t>Vendeur 1</t>
  </si>
  <si>
    <t>Vendeur 2</t>
  </si>
  <si>
    <t>Vendeur 3</t>
  </si>
  <si>
    <t>Vendeur 4</t>
  </si>
  <si>
    <t>Règle (avec SI.CONDITIONS) : &lt;15 000 Bronze · &lt;30 000 Argent · &lt;50 000 Or · sinon Platine.</t>
  </si>
  <si>
    <t>Événement</t>
  </si>
  <si>
    <t>Date</t>
  </si>
  <si>
    <t>Année</t>
  </si>
  <si>
    <t>Mois</t>
  </si>
  <si>
    <t>Jour</t>
  </si>
  <si>
    <t>Lancement produit</t>
  </si>
  <si>
    <t>Audit annuel</t>
  </si>
  <si>
    <t>Clôture exercice</t>
  </si>
  <si>
    <t>Fonction logique Si</t>
  </si>
  <si>
    <t>Attribution des mentions (SI imbriqués)</t>
  </si>
  <si>
    <t>Attribution d'une prime (ET)</t>
  </si>
  <si>
    <t>Éligibilité à une formation (OU)</t>
  </si>
  <si>
    <t>Fonction Si+Et</t>
  </si>
  <si>
    <t>Fonction Si+Ou</t>
  </si>
  <si>
    <t>Catégorie de prime (SI.CONDITIONS)</t>
  </si>
  <si>
    <t>Fonction logique Si Conditions</t>
  </si>
  <si>
    <t>Fonction logique Ou</t>
  </si>
  <si>
    <t>Fonction logique Et</t>
  </si>
  <si>
    <t>Décomposer une date (JOUR, MOIS, ANNEE)</t>
  </si>
  <si>
    <t>Aujourd'hui</t>
  </si>
  <si>
    <t>Maintenant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</si>
</sst>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666666"/>
      <name val="Arial"/>
      <family val="2"/>
    </font>
    <font>
      <b/>
      <sz val="18"/>
      <color theme="1"/>
      <name val="Aptos"/>
      <family val="2"/>
    </font>
    <font>
      <i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F9E"/>
        <bgColor rgb="FF4A7EB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6" borderId="0" xfId="0" applyFont="1" applyFill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3" fillId="8" borderId="6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14" fontId="0" fillId="7" borderId="0" xfId="0" applyNumberFormat="1" applyFill="1"/>
    <xf numFmtId="22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2E5F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4FAF-E53E-446C-810C-454B7200474B}">
  <dimension ref="A1:E14"/>
  <sheetViews>
    <sheetView workbookViewId="0">
      <selection activeCell="E7" sqref="E7"/>
    </sheetView>
  </sheetViews>
  <sheetFormatPr baseColWidth="10" defaultRowHeight="14.5" x14ac:dyDescent="0.35"/>
  <cols>
    <col min="1" max="1" width="17.81640625" customWidth="1"/>
    <col min="2" max="2" width="30.36328125" customWidth="1"/>
    <col min="3" max="3" width="35" customWidth="1"/>
  </cols>
  <sheetData>
    <row r="1" spans="1:5" ht="23.5" x14ac:dyDescent="0.55000000000000004">
      <c r="B1" s="13" t="s">
        <v>43</v>
      </c>
    </row>
    <row r="3" spans="1:5" ht="28" customHeight="1" x14ac:dyDescent="0.35">
      <c r="A3" s="14" t="s">
        <v>44</v>
      </c>
      <c r="B3" s="15"/>
    </row>
    <row r="4" spans="1:5" x14ac:dyDescent="0.35">
      <c r="A4" s="1" t="s">
        <v>0</v>
      </c>
      <c r="B4" s="1" t="s">
        <v>1</v>
      </c>
      <c r="C4" s="1" t="s">
        <v>2</v>
      </c>
    </row>
    <row r="5" spans="1:5" ht="28" x14ac:dyDescent="0.35">
      <c r="A5" s="2" t="s">
        <v>3</v>
      </c>
      <c r="B5" s="5">
        <v>17</v>
      </c>
      <c r="C5" s="6" t="str">
        <f>IF(B5&gt;=16,"Felicitation",IF(B5&gt;=14,"Bien",IF(B5&gt;=12,"Assez bien",IF(B5&gt;=10,"Passable","Insuffisant"))))</f>
        <v>Felicitation</v>
      </c>
    </row>
    <row r="6" spans="1:5" ht="28" x14ac:dyDescent="0.35">
      <c r="A6" s="3" t="s">
        <v>4</v>
      </c>
      <c r="B6" s="7">
        <v>13</v>
      </c>
      <c r="C6" s="6" t="str">
        <f t="shared" ref="C6:C12" si="0">IF(B6&gt;=16,"Felicitation",IF(B6&gt;=14,"Bien",IF(B6&gt;=12,"Assez bien",IF(B6&gt;=10,"Passable","Insuffisant"))))</f>
        <v>Assez bien</v>
      </c>
    </row>
    <row r="7" spans="1:5" ht="28" x14ac:dyDescent="0.35">
      <c r="A7" s="2" t="s">
        <v>5</v>
      </c>
      <c r="B7" s="5">
        <v>9</v>
      </c>
      <c r="C7" s="6" t="str">
        <f t="shared" si="0"/>
        <v>Insuffisant</v>
      </c>
    </row>
    <row r="8" spans="1:5" ht="28" x14ac:dyDescent="0.35">
      <c r="A8" s="3" t="s">
        <v>6</v>
      </c>
      <c r="B8" s="7">
        <v>15</v>
      </c>
      <c r="C8" s="6" t="str">
        <f t="shared" si="0"/>
        <v>Bien</v>
      </c>
    </row>
    <row r="9" spans="1:5" x14ac:dyDescent="0.35">
      <c r="A9" s="2" t="s">
        <v>7</v>
      </c>
      <c r="B9" s="5">
        <v>11</v>
      </c>
      <c r="C9" s="6" t="str">
        <f t="shared" si="0"/>
        <v>Passable</v>
      </c>
    </row>
    <row r="10" spans="1:5" ht="28" x14ac:dyDescent="0.35">
      <c r="A10" s="3" t="s">
        <v>8</v>
      </c>
      <c r="B10" s="7">
        <v>19</v>
      </c>
      <c r="C10" s="6" t="str">
        <f t="shared" si="0"/>
        <v>Felicitation</v>
      </c>
    </row>
    <row r="11" spans="1:5" ht="28" x14ac:dyDescent="0.35">
      <c r="A11" s="2" t="s">
        <v>9</v>
      </c>
      <c r="B11" s="5">
        <v>8</v>
      </c>
      <c r="C11" s="6" t="str">
        <f t="shared" si="0"/>
        <v>Insuffisant</v>
      </c>
    </row>
    <row r="12" spans="1:5" x14ac:dyDescent="0.35">
      <c r="A12" s="3" t="s">
        <v>10</v>
      </c>
      <c r="B12" s="7">
        <v>14</v>
      </c>
      <c r="C12" s="6" t="str">
        <f t="shared" si="0"/>
        <v>Bien</v>
      </c>
    </row>
    <row r="14" spans="1:5" x14ac:dyDescent="0.35">
      <c r="A14" s="12" t="s">
        <v>11</v>
      </c>
      <c r="B14" s="12"/>
      <c r="C14" s="12"/>
      <c r="D14" s="12"/>
      <c r="E14" s="12"/>
    </row>
  </sheetData>
  <mergeCells count="2">
    <mergeCell ref="A14:E14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66AA-7EFE-479B-9D59-4368C6CC8680}">
  <dimension ref="A1:E10"/>
  <sheetViews>
    <sheetView workbookViewId="0">
      <selection activeCell="B1" sqref="B1:C1"/>
    </sheetView>
  </sheetViews>
  <sheetFormatPr baseColWidth="10" defaultRowHeight="14.5" x14ac:dyDescent="0.35"/>
  <cols>
    <col min="1" max="1" width="19.26953125" customWidth="1"/>
    <col min="2" max="2" width="19.90625" customWidth="1"/>
    <col min="3" max="3" width="18.36328125" customWidth="1"/>
    <col min="4" max="4" width="30.7265625" customWidth="1"/>
    <col min="5" max="5" width="17.90625" customWidth="1"/>
  </cols>
  <sheetData>
    <row r="1" spans="1:5" ht="23.5" x14ac:dyDescent="0.55000000000000004">
      <c r="B1" s="19" t="s">
        <v>52</v>
      </c>
      <c r="C1" s="19"/>
    </row>
    <row r="3" spans="1:5" ht="28" customHeight="1" x14ac:dyDescent="0.35">
      <c r="A3" s="16" t="s">
        <v>45</v>
      </c>
      <c r="B3" s="14"/>
    </row>
    <row r="4" spans="1:5" ht="28" x14ac:dyDescent="0.35">
      <c r="A4" s="1" t="s">
        <v>0</v>
      </c>
      <c r="B4" s="1" t="s">
        <v>12</v>
      </c>
      <c r="C4" s="1" t="s">
        <v>13</v>
      </c>
      <c r="D4" s="23" t="s">
        <v>14</v>
      </c>
      <c r="E4" s="18" t="s">
        <v>47</v>
      </c>
    </row>
    <row r="5" spans="1:5" ht="28" x14ac:dyDescent="0.35">
      <c r="A5" s="2" t="s">
        <v>15</v>
      </c>
      <c r="B5" s="5">
        <v>3</v>
      </c>
      <c r="C5" s="21">
        <v>15</v>
      </c>
      <c r="D5" s="25" t="b">
        <f>AND('Fonction Et'!B5&gt;=2,'Fonction Et'!C5&gt;=15)</f>
        <v>1</v>
      </c>
      <c r="E5" s="24" t="str">
        <f>IF(AND(B5&gt;=2,C5&gt;=5),"Prime accordée","Prime non accordée")</f>
        <v>Prime accordée</v>
      </c>
    </row>
    <row r="6" spans="1:5" x14ac:dyDescent="0.35">
      <c r="A6" s="3" t="s">
        <v>16</v>
      </c>
      <c r="B6" s="7">
        <v>1</v>
      </c>
      <c r="C6" s="22">
        <v>18</v>
      </c>
      <c r="D6" s="25" t="b">
        <f>AND('Fonction Et'!B6&gt;=2,'Fonction Et'!C6&gt;=15)</f>
        <v>0</v>
      </c>
      <c r="E6" s="24" t="str">
        <f t="shared" ref="E6:E9" si="0">IF(AND(B6&gt;=2,C6&gt;=5),"Prime accordée","Prime non accordée")</f>
        <v>Prime non accordée</v>
      </c>
    </row>
    <row r="7" spans="1:5" x14ac:dyDescent="0.35">
      <c r="A7" s="2" t="s">
        <v>17</v>
      </c>
      <c r="B7" s="5">
        <v>4</v>
      </c>
      <c r="C7" s="21">
        <v>12</v>
      </c>
      <c r="D7" s="25" t="b">
        <f>AND('Fonction Et'!B7&gt;=2,'Fonction Et'!C7&gt;=15)</f>
        <v>0</v>
      </c>
      <c r="E7" s="24" t="str">
        <f t="shared" si="0"/>
        <v>Prime accordée</v>
      </c>
    </row>
    <row r="8" spans="1:5" x14ac:dyDescent="0.35">
      <c r="A8" s="3" t="s">
        <v>18</v>
      </c>
      <c r="B8" s="7">
        <v>5</v>
      </c>
      <c r="C8" s="22">
        <v>17</v>
      </c>
      <c r="D8" s="25" t="b">
        <f>AND('Fonction Et'!B8&gt;=2,'Fonction Et'!C8&gt;=15)</f>
        <v>1</v>
      </c>
      <c r="E8" s="24" t="str">
        <f t="shared" si="0"/>
        <v>Prime accordée</v>
      </c>
    </row>
    <row r="9" spans="1:5" x14ac:dyDescent="0.35">
      <c r="A9" s="2" t="s">
        <v>19</v>
      </c>
      <c r="B9" s="5">
        <v>5</v>
      </c>
      <c r="C9" s="21">
        <v>9</v>
      </c>
      <c r="D9" s="25" t="b">
        <f>AND('Fonction Et'!B9&gt;=2,'Fonction Et'!C9&gt;=15)</f>
        <v>0</v>
      </c>
      <c r="E9" s="24" t="str">
        <f t="shared" si="0"/>
        <v>Prime accordée</v>
      </c>
    </row>
    <row r="10" spans="1:5" x14ac:dyDescent="0.35">
      <c r="A10" s="17" t="s">
        <v>20</v>
      </c>
      <c r="B10" s="17"/>
      <c r="C10" s="17"/>
      <c r="D10" s="17"/>
      <c r="E10" s="17"/>
    </row>
  </sheetData>
  <mergeCells count="3">
    <mergeCell ref="A10:E10"/>
    <mergeCell ref="A3:B3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0D32-79B4-4CE5-82C5-25E5D422C91E}">
  <dimension ref="A1:E9"/>
  <sheetViews>
    <sheetView workbookViewId="0">
      <selection activeCell="B1" sqref="B1:C1"/>
    </sheetView>
  </sheetViews>
  <sheetFormatPr baseColWidth="10" defaultRowHeight="14.5" x14ac:dyDescent="0.35"/>
  <cols>
    <col min="1" max="1" width="29.7265625" customWidth="1"/>
    <col min="2" max="2" width="20.1796875" customWidth="1"/>
    <col min="3" max="3" width="17.26953125" customWidth="1"/>
    <col min="4" max="4" width="24.1796875" customWidth="1"/>
    <col min="5" max="5" width="22.26953125" bestFit="1" customWidth="1"/>
  </cols>
  <sheetData>
    <row r="1" spans="1:5" ht="23.5" x14ac:dyDescent="0.55000000000000004">
      <c r="B1" s="19" t="s">
        <v>51</v>
      </c>
      <c r="C1" s="19"/>
    </row>
    <row r="3" spans="1:5" ht="28" x14ac:dyDescent="0.35">
      <c r="A3" s="4" t="s">
        <v>46</v>
      </c>
    </row>
    <row r="4" spans="1:5" ht="28" x14ac:dyDescent="0.35">
      <c r="A4" s="1" t="s">
        <v>0</v>
      </c>
      <c r="B4" s="1" t="s">
        <v>12</v>
      </c>
      <c r="C4" s="1" t="s">
        <v>13</v>
      </c>
      <c r="D4" s="23" t="s">
        <v>21</v>
      </c>
      <c r="E4" s="18" t="s">
        <v>48</v>
      </c>
    </row>
    <row r="5" spans="1:5" ht="28" x14ac:dyDescent="0.35">
      <c r="A5" s="2" t="s">
        <v>22</v>
      </c>
      <c r="B5" s="5">
        <v>6</v>
      </c>
      <c r="C5" s="21">
        <v>10</v>
      </c>
      <c r="D5" s="25" t="b">
        <f>OR(B5&gt;=5,C5&gt;=16)</f>
        <v>1</v>
      </c>
      <c r="E5" s="24" t="str">
        <f>IF(OR(B5&gt;=5,C5&gt;=10),"Eligible à la formation","Pas eligible à la formation")</f>
        <v>Eligible à la formation</v>
      </c>
    </row>
    <row r="6" spans="1:5" x14ac:dyDescent="0.35">
      <c r="A6" s="3" t="s">
        <v>23</v>
      </c>
      <c r="B6" s="7">
        <v>1</v>
      </c>
      <c r="C6" s="22">
        <v>17</v>
      </c>
      <c r="D6" s="25" t="b">
        <f t="shared" ref="D6:D8" si="0">OR(B6&gt;=5,C6&gt;=16)</f>
        <v>1</v>
      </c>
      <c r="E6" s="24" t="str">
        <f t="shared" ref="E6:E8" si="1">IF(OR(B6&gt;=5,C6&gt;=10),"Eligible à la formation","Pas eligible à la formation")</f>
        <v>Eligible à la formation</v>
      </c>
    </row>
    <row r="7" spans="1:5" x14ac:dyDescent="0.35">
      <c r="A7" s="2" t="s">
        <v>24</v>
      </c>
      <c r="B7" s="5">
        <v>3</v>
      </c>
      <c r="C7" s="21">
        <v>9</v>
      </c>
      <c r="D7" s="25" t="b">
        <f t="shared" si="0"/>
        <v>0</v>
      </c>
      <c r="E7" s="24" t="str">
        <f t="shared" si="1"/>
        <v>Pas eligible à la formation</v>
      </c>
    </row>
    <row r="8" spans="1:5" x14ac:dyDescent="0.35">
      <c r="A8" s="3" t="s">
        <v>25</v>
      </c>
      <c r="B8" s="7">
        <v>0</v>
      </c>
      <c r="C8" s="22">
        <v>12</v>
      </c>
      <c r="D8" s="25" t="b">
        <f t="shared" si="0"/>
        <v>0</v>
      </c>
      <c r="E8" s="24" t="str">
        <f t="shared" si="1"/>
        <v>Eligible à la formation</v>
      </c>
    </row>
    <row r="9" spans="1:5" x14ac:dyDescent="0.35">
      <c r="A9" s="12" t="s">
        <v>26</v>
      </c>
      <c r="B9" s="12"/>
      <c r="C9" s="12"/>
      <c r="D9" s="12"/>
      <c r="E9" s="12"/>
    </row>
  </sheetData>
  <mergeCells count="2">
    <mergeCell ref="A9:E9"/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4DCF-81C5-4B33-84D9-2E5DAD65E702}">
  <dimension ref="A1:D10"/>
  <sheetViews>
    <sheetView workbookViewId="0">
      <selection activeCell="D14" sqref="D14"/>
    </sheetView>
  </sheetViews>
  <sheetFormatPr baseColWidth="10" defaultRowHeight="14.5" x14ac:dyDescent="0.35"/>
  <cols>
    <col min="1" max="1" width="28.08984375" customWidth="1"/>
    <col min="2" max="2" width="24.54296875" customWidth="1"/>
    <col min="3" max="3" width="24.6328125" customWidth="1"/>
    <col min="4" max="4" width="33.08984375" customWidth="1"/>
  </cols>
  <sheetData>
    <row r="1" spans="1:4" ht="23.5" x14ac:dyDescent="0.55000000000000004">
      <c r="B1" s="20" t="s">
        <v>50</v>
      </c>
      <c r="C1" s="20"/>
    </row>
    <row r="4" spans="1:4" ht="28" customHeight="1" x14ac:dyDescent="0.35">
      <c r="A4" s="16" t="s">
        <v>49</v>
      </c>
      <c r="B4" s="14"/>
    </row>
    <row r="5" spans="1:4" x14ac:dyDescent="0.35">
      <c r="A5" s="1" t="s">
        <v>27</v>
      </c>
      <c r="B5" s="1" t="s">
        <v>28</v>
      </c>
      <c r="C5" s="1" t="s">
        <v>29</v>
      </c>
    </row>
    <row r="6" spans="1:4" x14ac:dyDescent="0.35">
      <c r="A6" s="2" t="s">
        <v>30</v>
      </c>
      <c r="B6" s="8">
        <v>12000</v>
      </c>
      <c r="C6" s="6" t="str" cm="1">
        <f t="array" ref="C6">_xlfn.IFS(B6&lt;15000,"Bronze",B6&lt;30000,"Argent",B6&lt;50000,"Or",B6&gt;50000,"Platine")</f>
        <v>Bronze</v>
      </c>
    </row>
    <row r="7" spans="1:4" x14ac:dyDescent="0.35">
      <c r="A7" s="3" t="s">
        <v>31</v>
      </c>
      <c r="B7" s="9">
        <v>35000</v>
      </c>
      <c r="C7" s="6" t="str" cm="1">
        <f t="array" ref="C7">_xlfn.IFS(B7&lt;15000,"Bronze",B7&lt;30000,"Argent",B7&lt;50000,"Or",B7&gt;50000,"Platine")</f>
        <v>Or</v>
      </c>
    </row>
    <row r="8" spans="1:4" x14ac:dyDescent="0.35">
      <c r="A8" s="2" t="s">
        <v>32</v>
      </c>
      <c r="B8" s="8">
        <v>58000</v>
      </c>
      <c r="C8" s="6" t="str" cm="1">
        <f t="array" ref="C8">_xlfn.IFS(B8&lt;15000,"Bronze",B8&lt;30000,"Argent",B8&lt;50000,"Or",B8&gt;50000,"Platine")</f>
        <v>Platine</v>
      </c>
    </row>
    <row r="9" spans="1:4" x14ac:dyDescent="0.35">
      <c r="A9" s="3" t="s">
        <v>33</v>
      </c>
      <c r="B9" s="9">
        <v>21000</v>
      </c>
      <c r="C9" s="6" t="str" cm="1">
        <f t="array" ref="C9">_xlfn.IFS(B9&lt;15000,"Bronze",B9&lt;30000,"Argent",B9&lt;50000,"Or",B9&gt;50000,"Platine")</f>
        <v>Argent</v>
      </c>
    </row>
    <row r="10" spans="1:4" x14ac:dyDescent="0.35">
      <c r="A10" s="12" t="s">
        <v>34</v>
      </c>
      <c r="B10" s="12"/>
      <c r="C10" s="12"/>
      <c r="D10" s="12"/>
    </row>
  </sheetData>
  <mergeCells count="3">
    <mergeCell ref="A10:D10"/>
    <mergeCell ref="A4:B4"/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0C1C-F345-48F7-B1CA-32B751329040}">
  <dimension ref="A4:H8"/>
  <sheetViews>
    <sheetView tabSelected="1" topLeftCell="A4" workbookViewId="0">
      <selection activeCell="F13" sqref="F13:F14"/>
    </sheetView>
  </sheetViews>
  <sheetFormatPr baseColWidth="10" defaultRowHeight="14.5" x14ac:dyDescent="0.35"/>
  <cols>
    <col min="1" max="1" width="20.453125" customWidth="1"/>
    <col min="2" max="2" width="22.08984375" customWidth="1"/>
    <col min="3" max="3" width="21.26953125" customWidth="1"/>
    <col min="4" max="4" width="27.7265625" customWidth="1"/>
    <col min="5" max="5" width="38.54296875" customWidth="1"/>
    <col min="7" max="7" width="15.453125" bestFit="1" customWidth="1"/>
    <col min="8" max="8" width="15.36328125" customWidth="1"/>
  </cols>
  <sheetData>
    <row r="4" spans="1:8" ht="42" customHeight="1" x14ac:dyDescent="0.35">
      <c r="A4" s="16" t="s">
        <v>53</v>
      </c>
      <c r="B4" s="14"/>
      <c r="C4" s="14"/>
    </row>
    <row r="5" spans="1:8" x14ac:dyDescent="0.3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8" t="s">
        <v>36</v>
      </c>
      <c r="G5" s="18" t="s">
        <v>55</v>
      </c>
      <c r="H5" s="18" t="s">
        <v>54</v>
      </c>
    </row>
    <row r="6" spans="1:8" ht="28" x14ac:dyDescent="0.35">
      <c r="A6" s="2" t="s">
        <v>40</v>
      </c>
      <c r="B6" s="10">
        <v>46067</v>
      </c>
      <c r="C6" s="26">
        <f>YEAR(B6)</f>
        <v>2026</v>
      </c>
      <c r="D6" s="26">
        <f>MONTH(B6)</f>
        <v>2</v>
      </c>
      <c r="E6" s="26">
        <f>DAY(B6)</f>
        <v>14</v>
      </c>
      <c r="F6" s="27">
        <f>DATE(C6,D6,E6)</f>
        <v>46067</v>
      </c>
      <c r="G6" s="28">
        <f ca="1">NOW()</f>
        <v>46290.86114872685</v>
      </c>
      <c r="H6" s="27">
        <f ca="1">TODAY()</f>
        <v>46290</v>
      </c>
    </row>
    <row r="7" spans="1:8" x14ac:dyDescent="0.35">
      <c r="A7" s="3" t="s">
        <v>41</v>
      </c>
      <c r="B7" s="11">
        <v>46203</v>
      </c>
      <c r="C7" s="26">
        <f t="shared" ref="C7:C8" si="0">YEAR(B7)</f>
        <v>2026</v>
      </c>
      <c r="D7" s="26">
        <f t="shared" ref="D7:D8" si="1">MONTH(B7)</f>
        <v>6</v>
      </c>
      <c r="E7" s="26">
        <f t="shared" ref="E7:E8" si="2">DAY(B7)</f>
        <v>30</v>
      </c>
      <c r="F7" s="27">
        <f t="shared" ref="F7:F8" si="3">DATE(C7,D7,E7)</f>
        <v>46203</v>
      </c>
    </row>
    <row r="8" spans="1:8" x14ac:dyDescent="0.35">
      <c r="A8" s="2" t="s">
        <v>42</v>
      </c>
      <c r="B8" s="10">
        <v>46387</v>
      </c>
      <c r="C8" s="26">
        <f t="shared" si="0"/>
        <v>2026</v>
      </c>
      <c r="D8" s="26">
        <f t="shared" si="1"/>
        <v>12</v>
      </c>
      <c r="E8" s="26">
        <f t="shared" si="2"/>
        <v>31</v>
      </c>
      <c r="F8" s="27">
        <f t="shared" si="3"/>
        <v>46387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Fonctions Si</vt:lpstr>
      <vt:lpstr>Fonction Et</vt:lpstr>
      <vt:lpstr>Fonction Ou</vt:lpstr>
      <vt:lpstr>Si Conditions</vt:lpstr>
      <vt:lpstr>Fonctions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1</cp:revision>
  <dcterms:created xsi:type="dcterms:W3CDTF">2026-08-15T10:57:05Z</dcterms:created>
  <dcterms:modified xsi:type="dcterms:W3CDTF">2026-09-25T20:41:13Z</dcterms:modified>
  <dc:language>en-US</dc:language>
</cp:coreProperties>
</file>