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Pictures\Projet_Portfolio\excel\"/>
    </mc:Choice>
  </mc:AlternateContent>
  <xr:revisionPtr revIDLastSave="0" documentId="8_{87A7507C-C526-49AC-8CD3-0FE06F94CB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b.si Somme.si &amp; Moyenne.si " sheetId="11" r:id="rId1"/>
    <sheet name="Somme.si" sheetId="8" r:id="rId2"/>
    <sheet name="Nb.si " sheetId="10" r:id="rId3"/>
    <sheet name="Moyenne.si" sheetId="9" r:id="rId4"/>
    <sheet name="Somme.si.ens" sheetId="5" r:id="rId5"/>
    <sheet name="Nb.si.ens" sheetId="6" r:id="rId6"/>
    <sheet name="Moyenne.si.ens" sheetId="7" r:id="rId7"/>
    <sheet name="Mémo fonctions" sheetId="4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1" l="1"/>
  <c r="C22" i="11"/>
  <c r="B22" i="11"/>
  <c r="D21" i="11"/>
  <c r="C21" i="11"/>
  <c r="B21" i="11"/>
  <c r="D20" i="11"/>
  <c r="C20" i="11"/>
  <c r="B20" i="11"/>
  <c r="F14" i="7"/>
  <c r="F13" i="7"/>
  <c r="G15" i="6"/>
  <c r="G14" i="6"/>
  <c r="F15" i="5"/>
  <c r="F14" i="5"/>
  <c r="F14" i="9"/>
  <c r="F13" i="9"/>
  <c r="F15" i="10"/>
  <c r="F14" i="10"/>
  <c r="E18" i="8"/>
  <c r="E17" i="8"/>
  <c r="E16" i="8"/>
</calcChain>
</file>

<file path=xl/sharedStrings.xml><?xml version="1.0" encoding="utf-8"?>
<sst xmlns="http://schemas.openxmlformats.org/spreadsheetml/2006/main" count="301" uniqueCount="106">
  <si>
    <t>Produit</t>
  </si>
  <si>
    <t>Quantité</t>
  </si>
  <si>
    <t>Ville</t>
  </si>
  <si>
    <t>Riz</t>
  </si>
  <si>
    <t>Conakry</t>
  </si>
  <si>
    <t>Amadou</t>
  </si>
  <si>
    <t>Sucre</t>
  </si>
  <si>
    <t>Kindia</t>
  </si>
  <si>
    <t>Fatou</t>
  </si>
  <si>
    <t>Mamadou</t>
  </si>
  <si>
    <t>Huile</t>
  </si>
  <si>
    <t>Kankan</t>
  </si>
  <si>
    <t>Ibrahima</t>
  </si>
  <si>
    <t>N°</t>
  </si>
  <si>
    <t>Fonction</t>
  </si>
  <si>
    <t>Rôle simple</t>
  </si>
  <si>
    <t>SOMME</t>
  </si>
  <si>
    <t>Additionner des nombres</t>
  </si>
  <si>
    <t>NB</t>
  </si>
  <si>
    <t>Compter les nombres</t>
  </si>
  <si>
    <t>NBVAL</t>
  </si>
  <si>
    <t>Compter les cellules non vides</t>
  </si>
  <si>
    <t>MOYENNE</t>
  </si>
  <si>
    <t>Calculer une moyenne</t>
  </si>
  <si>
    <t>SOMME.SI</t>
  </si>
  <si>
    <t>Sommer avec 1 condition</t>
  </si>
  <si>
    <t>NB.SI</t>
  </si>
  <si>
    <t>Compter avec 1 condition</t>
  </si>
  <si>
    <t>MOYENNE.SI</t>
  </si>
  <si>
    <t>Moyenne avec 1 condition</t>
  </si>
  <si>
    <t>SOMME.SI.ENS</t>
  </si>
  <si>
    <t>Sommer avec plusieurs conditions</t>
  </si>
  <si>
    <t>NB.SI.ENS</t>
  </si>
  <si>
    <t>Compter avec plusieurs conditions</t>
  </si>
  <si>
    <t>MOYENNE.SI.ENS</t>
  </si>
  <si>
    <t>Moyenne avec plusieurs conditions</t>
  </si>
  <si>
    <t>Commercial</t>
  </si>
  <si>
    <t>Montant vente</t>
  </si>
  <si>
    <t>Nom</t>
  </si>
  <si>
    <t>Sexe</t>
  </si>
  <si>
    <t>Service</t>
  </si>
  <si>
    <t>Vente</t>
  </si>
  <si>
    <t>Homme</t>
  </si>
  <si>
    <t>Aïssatou</t>
  </si>
  <si>
    <t>Femme</t>
  </si>
  <si>
    <t>Finance</t>
  </si>
  <si>
    <t>Mohamed</t>
  </si>
  <si>
    <t>Mariama</t>
  </si>
  <si>
    <t>Abdoulaye</t>
  </si>
  <si>
    <t>Hawa</t>
  </si>
  <si>
    <t>Sékou</t>
  </si>
  <si>
    <t>Kadiatou</t>
  </si>
  <si>
    <t>Question 1 :</t>
  </si>
  <si>
    <t>Total des ventes du service Commercial</t>
  </si>
  <si>
    <t>Total des ventes des femmes</t>
  </si>
  <si>
    <t>Total des ventes à Conakry</t>
  </si>
  <si>
    <t>Employé</t>
  </si>
  <si>
    <t>Formation</t>
  </si>
  <si>
    <t>Note</t>
  </si>
  <si>
    <t>Informatique</t>
  </si>
  <si>
    <t>Excel</t>
  </si>
  <si>
    <t>Comptabilité</t>
  </si>
  <si>
    <t>Marketing</t>
  </si>
  <si>
    <t xml:space="preserve">Question : </t>
  </si>
  <si>
    <t>Élève</t>
  </si>
  <si>
    <t>Classe</t>
  </si>
  <si>
    <t>Matière</t>
  </si>
  <si>
    <t>Paul</t>
  </si>
  <si>
    <t>10e A</t>
  </si>
  <si>
    <t>Mathématiques</t>
  </si>
  <si>
    <t>Marie</t>
  </si>
  <si>
    <t>10e B</t>
  </si>
  <si>
    <t>Karim</t>
  </si>
  <si>
    <t>Awa</t>
  </si>
  <si>
    <t>10e C</t>
  </si>
  <si>
    <t>Jean</t>
  </si>
  <si>
    <t>Moussa</t>
  </si>
  <si>
    <t>Sarah</t>
  </si>
  <si>
    <t>David</t>
  </si>
  <si>
    <t>Aminata</t>
  </si>
  <si>
    <t>Question 1</t>
  </si>
  <si>
    <t>Combien d'élèves ont obtenu une note supérieure ou égale à 10 ?</t>
  </si>
  <si>
    <t>Combien d'élèves ont obtenu une note inférieure à 10 ?</t>
  </si>
  <si>
    <t>Question 3</t>
  </si>
  <si>
    <t>Combien d'élèves sont dans la classe 10e A ?</t>
  </si>
  <si>
    <t>Trouver le  nombre de ventes realisé par Amadou a conakry</t>
  </si>
  <si>
    <t>Trouver le  nombre de ventes realisé par Fatou a conakry</t>
  </si>
  <si>
    <t>Question 2 :</t>
  </si>
  <si>
    <t>Question 3 :</t>
  </si>
  <si>
    <t>Question 2</t>
  </si>
  <si>
    <r>
      <rPr>
        <b/>
        <sz val="11"/>
        <color rgb="FFFF0000"/>
        <rFont val="Aptos"/>
        <family val="2"/>
      </rPr>
      <t xml:space="preserve">Question 2 </t>
    </r>
    <r>
      <rPr>
        <sz val="11"/>
        <color theme="1"/>
        <rFont val="Aptos"/>
        <family val="2"/>
      </rPr>
      <t>: Calcule la moyenne des notes du service Comptabilité.</t>
    </r>
  </si>
  <si>
    <r>
      <rPr>
        <b/>
        <sz val="11"/>
        <color rgb="FFFF0000"/>
        <rFont val="Aptos"/>
        <family val="2"/>
      </rPr>
      <t xml:space="preserve">Question 1 </t>
    </r>
    <r>
      <rPr>
        <sz val="11"/>
        <color theme="1"/>
        <rFont val="Aptos"/>
        <family val="2"/>
      </rPr>
      <t>: Calcule la moyenne des notes du service Informatique</t>
    </r>
  </si>
  <si>
    <t>Calcule le montant total des ventes réalisées par Amadou à Conakry.</t>
  </si>
  <si>
    <r>
      <rPr>
        <b/>
        <sz val="11"/>
        <color rgb="FFFF0000"/>
        <rFont val="Calibri"/>
        <family val="2"/>
        <scheme val="minor"/>
      </rPr>
      <t>Question 1</t>
    </r>
    <r>
      <rPr>
        <b/>
        <sz val="11"/>
        <color theme="1"/>
        <rFont val="Calibri"/>
        <family val="2"/>
        <scheme val="minor"/>
      </rPr>
      <t xml:space="preserve"> :</t>
    </r>
    <r>
      <rPr>
        <sz val="11"/>
        <color theme="1"/>
        <rFont val="Calibri"/>
        <family val="2"/>
        <scheme val="minor"/>
      </rPr>
      <t xml:space="preserve"> Calculer la moyenne des ventes realisées par les hommes dans le service commercial ?</t>
    </r>
  </si>
  <si>
    <r>
      <rPr>
        <b/>
        <sz val="11"/>
        <color rgb="FFFF0000"/>
        <rFont val="Calibri"/>
        <family val="2"/>
        <scheme val="minor"/>
      </rPr>
      <t>Question  2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: Calculer la moyenne des ventes des femmes du finance?</t>
    </r>
  </si>
  <si>
    <t xml:space="preserve">Reponse ici </t>
  </si>
  <si>
    <t>Calcule le montant total des ventes réalisées par Ibrahima à Kankan.</t>
  </si>
  <si>
    <t>Synthèse des ventes par région (NB.SI, SOMME.SI, MOYENNE.SI)</t>
  </si>
  <si>
    <t>Région</t>
  </si>
  <si>
    <t>Montant vente (€)</t>
  </si>
  <si>
    <t>Paris</t>
  </si>
  <si>
    <t>Lyon</t>
  </si>
  <si>
    <t>Marseille</t>
  </si>
  <si>
    <t>Nombre de ventes (NB.SI)</t>
  </si>
  <si>
    <t>Total (SOMME.SI)</t>
  </si>
  <si>
    <t>Moyenne (MOYENNE.SI)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</si>
</sst>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&quot; €&quot;"/>
  </numFmts>
  <fonts count="1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Aptos"/>
      <family val="2"/>
    </font>
    <font>
      <sz val="11"/>
      <color theme="1"/>
      <name val="Aptos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Aptos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9"/>
        <bgColor indexed="64"/>
      </patternFill>
    </fill>
    <fill>
      <patternFill patternType="solid">
        <fgColor rgb="FF2E5F9E"/>
        <bgColor rgb="FF4A7EBB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2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" xfId="0" applyBorder="1"/>
    <xf numFmtId="0" fontId="0" fillId="3" borderId="1" xfId="0" applyFill="1" applyBorder="1"/>
    <xf numFmtId="0" fontId="5" fillId="0" borderId="2" xfId="0" applyFont="1" applyBorder="1"/>
    <xf numFmtId="0" fontId="6" fillId="0" borderId="3" xfId="0" applyFont="1" applyBorder="1"/>
    <xf numFmtId="0" fontId="5" fillId="0" borderId="5" xfId="0" applyFont="1" applyBorder="1"/>
    <xf numFmtId="0" fontId="6" fillId="0" borderId="0" xfId="0" applyFont="1" applyBorder="1"/>
    <xf numFmtId="0" fontId="5" fillId="0" borderId="7" xfId="0" applyFont="1" applyBorder="1"/>
    <xf numFmtId="0" fontId="6" fillId="0" borderId="8" xfId="0" applyFont="1" applyBorder="1" applyAlignment="1">
      <alignment vertical="center"/>
    </xf>
    <xf numFmtId="0" fontId="6" fillId="0" borderId="8" xfId="0" applyFont="1" applyBorder="1"/>
    <xf numFmtId="0" fontId="0" fillId="3" borderId="4" xfId="0" applyFill="1" applyBorder="1"/>
    <xf numFmtId="0" fontId="0" fillId="3" borderId="6" xfId="0" applyFill="1" applyBorder="1"/>
    <xf numFmtId="0" fontId="0" fillId="3" borderId="9" xfId="0" applyFill="1" applyBorder="1"/>
    <xf numFmtId="0" fontId="6" fillId="0" borderId="1" xfId="0" applyFont="1" applyBorder="1"/>
    <xf numFmtId="0" fontId="0" fillId="0" borderId="10" xfId="0" applyBorder="1"/>
    <xf numFmtId="0" fontId="0" fillId="0" borderId="11" xfId="0" applyBorder="1"/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4" xfId="0" applyBorder="1"/>
    <xf numFmtId="0" fontId="0" fillId="3" borderId="12" xfId="0" applyFill="1" applyBorder="1"/>
    <xf numFmtId="0" fontId="0" fillId="3" borderId="15" xfId="0" applyFill="1" applyBorder="1"/>
    <xf numFmtId="0" fontId="4" fillId="0" borderId="10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4" fillId="0" borderId="13" xfId="0" applyFont="1" applyBorder="1" applyAlignment="1">
      <alignment horizontal="left"/>
    </xf>
    <xf numFmtId="0" fontId="6" fillId="0" borderId="0" xfId="0" applyFont="1" applyAlignment="1"/>
    <xf numFmtId="0" fontId="5" fillId="0" borderId="10" xfId="0" applyFont="1" applyBorder="1"/>
    <xf numFmtId="0" fontId="6" fillId="0" borderId="11" xfId="0" applyFont="1" applyBorder="1" applyAlignment="1">
      <alignment horizontal="left"/>
    </xf>
    <xf numFmtId="0" fontId="5" fillId="0" borderId="13" xfId="0" applyFont="1" applyBorder="1"/>
    <xf numFmtId="0" fontId="0" fillId="0" borderId="0" xfId="0" applyBorder="1"/>
    <xf numFmtId="0" fontId="9" fillId="3" borderId="0" xfId="0" applyFont="1" applyFill="1" applyBorder="1" applyAlignment="1">
      <alignment horizontal="center"/>
    </xf>
    <xf numFmtId="0" fontId="8" fillId="3" borderId="0" xfId="0" applyFont="1" applyFill="1" applyBorder="1"/>
    <xf numFmtId="0" fontId="6" fillId="0" borderId="0" xfId="0" applyFont="1" applyBorder="1" applyAlignment="1">
      <alignment horizontal="left"/>
    </xf>
    <xf numFmtId="43" fontId="8" fillId="3" borderId="12" xfId="1" applyFont="1" applyFill="1" applyBorder="1"/>
    <xf numFmtId="0" fontId="5" fillId="0" borderId="16" xfId="0" applyFont="1" applyBorder="1"/>
    <xf numFmtId="43" fontId="8" fillId="3" borderId="17" xfId="1" applyFont="1" applyFill="1" applyBorder="1"/>
    <xf numFmtId="0" fontId="6" fillId="0" borderId="14" xfId="0" applyFont="1" applyBorder="1" applyAlignment="1">
      <alignment horizontal="left" vertical="center"/>
    </xf>
    <xf numFmtId="43" fontId="8" fillId="3" borderId="15" xfId="1" applyFont="1" applyFill="1" applyBorder="1"/>
    <xf numFmtId="0" fontId="11" fillId="4" borderId="18" xfId="0" applyFont="1" applyFill="1" applyBorder="1" applyAlignment="1">
      <alignment horizontal="center" vertical="center" wrapText="1"/>
    </xf>
    <xf numFmtId="0" fontId="12" fillId="5" borderId="18" xfId="0" applyFont="1" applyFill="1" applyBorder="1" applyAlignment="1">
      <alignment vertical="center" wrapText="1"/>
    </xf>
    <xf numFmtId="164" fontId="12" fillId="5" borderId="18" xfId="0" applyNumberFormat="1" applyFont="1" applyFill="1" applyBorder="1" applyAlignment="1">
      <alignment vertical="center" wrapText="1"/>
    </xf>
    <xf numFmtId="0" fontId="12" fillId="6" borderId="18" xfId="0" applyFont="1" applyFill="1" applyBorder="1" applyAlignment="1">
      <alignment vertical="center" wrapText="1"/>
    </xf>
    <xf numFmtId="164" fontId="12" fillId="6" borderId="18" xfId="0" applyNumberFormat="1" applyFont="1" applyFill="1" applyBorder="1" applyAlignment="1">
      <alignment vertical="center" wrapText="1"/>
    </xf>
    <xf numFmtId="0" fontId="10" fillId="5" borderId="18" xfId="0" applyFont="1" applyFill="1" applyBorder="1" applyAlignment="1">
      <alignment vertical="center" wrapText="1"/>
    </xf>
    <xf numFmtId="0" fontId="12" fillId="7" borderId="18" xfId="0" applyFont="1" applyFill="1" applyBorder="1" applyAlignment="1">
      <alignment vertical="center" wrapText="1"/>
    </xf>
    <xf numFmtId="0" fontId="10" fillId="6" borderId="18" xfId="0" applyFont="1" applyFill="1" applyBorder="1" applyAlignment="1">
      <alignment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</cellXfs>
  <cellStyles count="2">
    <cellStyle name="Milliers" xfId="1" builtinId="3"/>
    <cellStyle name="Normal" xfId="0" builtinId="0"/>
  </cellStyles>
  <dxfs count="44">
    <dxf>
      <numFmt numFmtId="3" formatCode="#,##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A60391-BC21-417B-91FF-DBE275898BD1}" name="Tableau4" displayName="Tableau4" ref="A1:F11" totalsRowShown="0" headerRowDxfId="35" dataDxfId="34">
  <autoFilter ref="A1:F11" xr:uid="{6AA60391-BC21-417B-91FF-DBE275898BD1}"/>
  <tableColumns count="6">
    <tableColumn id="1" xr3:uid="{78CC425F-B4BE-44CF-B819-941F7DE8C4D6}" name="N°" dataDxfId="33"/>
    <tableColumn id="2" xr3:uid="{99B7FDDC-889F-4BD7-A97C-4C1CF489791F}" name="Nom" dataDxfId="32"/>
    <tableColumn id="3" xr3:uid="{38C92421-67C2-4464-8B1D-995C8B05D6A0}" name="Sexe" dataDxfId="31"/>
    <tableColumn id="4" xr3:uid="{86731493-F5CC-4E3F-8164-3653653DE05C}" name="Service" dataDxfId="30"/>
    <tableColumn id="5" xr3:uid="{A0823462-1310-49F1-8D3D-276B674BD434}" name="Ville" dataDxfId="29"/>
    <tableColumn id="6" xr3:uid="{2C0FA1FA-F2BB-464D-8197-6F2D7BE22AC3}" name="Vente" dataDxfId="28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81F4DE-D0DA-4966-BFF7-D014ACEDAD58}" name="Tableau6" displayName="Tableau6" ref="A1:E11" totalsRowShown="0" headerRowDxfId="27" dataDxfId="26">
  <autoFilter ref="A1:E11" xr:uid="{5B81F4DE-D0DA-4966-BFF7-D014ACEDAD58}"/>
  <tableColumns count="5">
    <tableColumn id="1" xr3:uid="{B963C861-FFD6-46DF-85C1-B4FCB1479351}" name="N°" dataDxfId="25"/>
    <tableColumn id="2" xr3:uid="{E7770A60-BBEE-46B7-9156-C45F888C189F}" name="Élève" dataDxfId="24"/>
    <tableColumn id="3" xr3:uid="{05AA9347-534B-4324-AAC5-74E6387AAFAE}" name="Classe" dataDxfId="23"/>
    <tableColumn id="4" xr3:uid="{876E69F8-822D-459C-9B8F-27F70E2E4A6F}" name="Matière" dataDxfId="22"/>
    <tableColumn id="5" xr3:uid="{38ED21BF-9C1B-4BA0-9EBB-E70E42AE2094}" name="Note" dataDxfId="21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CEEA59-51E4-4431-90BF-135CB858C35E}" name="Tableau5" displayName="Tableau5" ref="A1:E11" totalsRowShown="0" headerRowDxfId="20" dataDxfId="19">
  <autoFilter ref="A1:E11" xr:uid="{4ACEEA59-51E4-4431-90BF-135CB858C35E}"/>
  <tableColumns count="5">
    <tableColumn id="1" xr3:uid="{F5B015AB-AB3C-4A36-9C37-BDFCE3A9BABD}" name="N°" dataDxfId="18"/>
    <tableColumn id="2" xr3:uid="{CD316CBC-A8B4-466A-A0C1-AF072FFA8BB6}" name="Employé" dataDxfId="17"/>
    <tableColumn id="3" xr3:uid="{A754DE39-539E-4223-8DCD-5D7EF465BEB5}" name="Service" dataDxfId="16"/>
    <tableColumn id="4" xr3:uid="{0E31D9E3-00C7-4DEC-9A4A-F40BF3415CCC}" name="Formation" dataDxfId="15"/>
    <tableColumn id="5" xr3:uid="{925E1384-916A-438D-BB53-D33EF35C2FC6}" name="Note" dataDxfId="14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82AA17-6F9A-4632-998B-DF773B15CF3F}" name="Tableau1" displayName="Tableau1" ref="A1:E11" totalsRowShown="0" headerRowDxfId="13" dataDxfId="12">
  <autoFilter ref="A1:E11" xr:uid="{3782AA17-6F9A-4632-998B-DF773B15CF3F}"/>
  <tableColumns count="5">
    <tableColumn id="1" xr3:uid="{702C2F1D-1994-451D-8DF1-B6BBFE173C2D}" name="Commercial" dataDxfId="11"/>
    <tableColumn id="2" xr3:uid="{1CA45DFD-B853-4041-B935-6B6E50BE87E8}" name="Produit" dataDxfId="10"/>
    <tableColumn id="3" xr3:uid="{0E208069-3E57-438E-8407-62A5D47B0829}" name="Ville" dataDxfId="9"/>
    <tableColumn id="4" xr3:uid="{A20686C3-0F7A-47FF-B2A9-0A07AE8B60F2}" name="Quantité" dataDxfId="8"/>
    <tableColumn id="5" xr3:uid="{96953857-F390-4FD8-9541-1ACFE4FE4694}" name="Montant vente" dataDxfId="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26C317-DFF9-4E89-A341-69B64A3B86A9}" name="Tableau13" displayName="Tableau13" ref="A1:E11" totalsRowShown="0" headerRowDxfId="6" dataDxfId="5">
  <autoFilter ref="A1:E11" xr:uid="{7026C317-DFF9-4E89-A341-69B64A3B86A9}"/>
  <tableColumns count="5">
    <tableColumn id="1" xr3:uid="{3E2F8E12-E109-4898-90CF-2ED140DC85A6}" name="Commercial" dataDxfId="4"/>
    <tableColumn id="2" xr3:uid="{19D105A7-6043-44CE-AA74-971F7E26864F}" name="Produit" dataDxfId="3"/>
    <tableColumn id="3" xr3:uid="{50D9BECE-CDF9-4DC8-BB54-EC81395EACED}" name="Ville" dataDxfId="2"/>
    <tableColumn id="4" xr3:uid="{067C67B7-630F-4A7D-9782-83034257CED0}" name="Quantité" dataDxfId="1"/>
    <tableColumn id="5" xr3:uid="{D319350C-D7BC-4D3D-B9EC-3BA62121828B}" name="Montant vente" dataDxfId="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B4EFBF-66FC-4C64-810F-286CBB2E0A22}" name="Tableau3" displayName="Tableau3" ref="A1:F11" totalsRowShown="0" headerRowDxfId="43" dataDxfId="42">
  <autoFilter ref="A1:F11" xr:uid="{76B4EFBF-66FC-4C64-810F-286CBB2E0A22}"/>
  <tableColumns count="6">
    <tableColumn id="1" xr3:uid="{F3C4A611-E48E-4456-88A9-4949844AF7F4}" name="N°" dataDxfId="41"/>
    <tableColumn id="2" xr3:uid="{81A68149-3C39-4151-90EE-8210E534CB69}" name="Nom" dataDxfId="40"/>
    <tableColumn id="3" xr3:uid="{0567B1EB-CC92-453B-A738-0E03B6CB1719}" name="Sexe" dataDxfId="39"/>
    <tableColumn id="4" xr3:uid="{6F42989E-558B-4B79-BC7C-0DD9945CFA88}" name="Service" dataDxfId="38"/>
    <tableColumn id="5" xr3:uid="{871AB286-5390-4E03-A364-E84605B7C2EC}" name="Ville" dataDxfId="37"/>
    <tableColumn id="6" xr3:uid="{403AE5E4-7F8F-41C1-817C-18FDB344C9AF}" name="Vente" dataDxfId="36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13136-4642-4488-966C-8A1ACAD50743}">
  <dimension ref="A5:D22"/>
  <sheetViews>
    <sheetView tabSelected="1" workbookViewId="0">
      <selection activeCell="D8" sqref="D8"/>
    </sheetView>
  </sheetViews>
  <sheetFormatPr baseColWidth="10" defaultRowHeight="14.5" x14ac:dyDescent="0.35"/>
  <cols>
    <col min="1" max="1" width="27.36328125" customWidth="1"/>
    <col min="2" max="2" width="31.6328125" customWidth="1"/>
    <col min="3" max="3" width="20.7265625" customWidth="1"/>
    <col min="4" max="4" width="42.7265625" customWidth="1"/>
  </cols>
  <sheetData>
    <row r="5" spans="1:3" ht="14.5" customHeight="1" x14ac:dyDescent="0.35">
      <c r="A5" s="58" t="s">
        <v>97</v>
      </c>
      <c r="B5" s="59"/>
      <c r="C5" s="59"/>
    </row>
    <row r="6" spans="1:3" ht="14.5" customHeight="1" x14ac:dyDescent="0.35">
      <c r="A6" s="60"/>
      <c r="B6" s="61"/>
      <c r="C6" s="61"/>
    </row>
    <row r="7" spans="1:3" x14ac:dyDescent="0.35">
      <c r="A7" s="50" t="s">
        <v>98</v>
      </c>
      <c r="B7" s="50" t="s">
        <v>99</v>
      </c>
    </row>
    <row r="8" spans="1:3" x14ac:dyDescent="0.35">
      <c r="A8" s="51" t="s">
        <v>100</v>
      </c>
      <c r="B8" s="52">
        <v>1200</v>
      </c>
    </row>
    <row r="9" spans="1:3" x14ac:dyDescent="0.35">
      <c r="A9" s="53" t="s">
        <v>101</v>
      </c>
      <c r="B9" s="54">
        <v>950</v>
      </c>
    </row>
    <row r="10" spans="1:3" x14ac:dyDescent="0.35">
      <c r="A10" s="51" t="s">
        <v>100</v>
      </c>
      <c r="B10" s="52">
        <v>1800</v>
      </c>
    </row>
    <row r="11" spans="1:3" x14ac:dyDescent="0.35">
      <c r="A11" s="53" t="s">
        <v>102</v>
      </c>
      <c r="B11" s="54">
        <v>700</v>
      </c>
    </row>
    <row r="12" spans="1:3" x14ac:dyDescent="0.35">
      <c r="A12" s="51" t="s">
        <v>101</v>
      </c>
      <c r="B12" s="52">
        <v>1100</v>
      </c>
    </row>
    <row r="13" spans="1:3" x14ac:dyDescent="0.35">
      <c r="A13" s="53" t="s">
        <v>100</v>
      </c>
      <c r="B13" s="54">
        <v>1450</v>
      </c>
    </row>
    <row r="14" spans="1:3" x14ac:dyDescent="0.35">
      <c r="A14" s="51" t="s">
        <v>102</v>
      </c>
      <c r="B14" s="52">
        <v>890</v>
      </c>
    </row>
    <row r="15" spans="1:3" x14ac:dyDescent="0.35">
      <c r="A15" s="53" t="s">
        <v>101</v>
      </c>
      <c r="B15" s="54">
        <v>1320</v>
      </c>
    </row>
    <row r="16" spans="1:3" x14ac:dyDescent="0.35">
      <c r="A16" s="51" t="s">
        <v>100</v>
      </c>
      <c r="B16" s="52">
        <v>990</v>
      </c>
    </row>
    <row r="17" spans="1:4" x14ac:dyDescent="0.35">
      <c r="A17" s="53" t="s">
        <v>102</v>
      </c>
      <c r="B17" s="54">
        <v>1600</v>
      </c>
    </row>
    <row r="19" spans="1:4" ht="42" x14ac:dyDescent="0.35">
      <c r="A19" s="50" t="s">
        <v>98</v>
      </c>
      <c r="B19" s="50" t="s">
        <v>103</v>
      </c>
      <c r="C19" s="50" t="s">
        <v>104</v>
      </c>
      <c r="D19" s="50" t="s">
        <v>105</v>
      </c>
    </row>
    <row r="20" spans="1:4" x14ac:dyDescent="0.35">
      <c r="A20" s="55" t="s">
        <v>100</v>
      </c>
      <c r="B20" s="56">
        <f>COUNTIF(A8:A17,A20)</f>
        <v>4</v>
      </c>
      <c r="C20" s="56">
        <f>SUMIF(A8:A17,A20,B8:B17)</f>
        <v>5440</v>
      </c>
      <c r="D20" s="56">
        <f>AVERAGEIF(A8:A17,A20,B8:B17)</f>
        <v>1360</v>
      </c>
    </row>
    <row r="21" spans="1:4" x14ac:dyDescent="0.35">
      <c r="A21" s="57" t="s">
        <v>101</v>
      </c>
      <c r="B21" s="56">
        <f t="shared" ref="B21:B22" si="0">COUNTIF(A9:A18,A21)</f>
        <v>3</v>
      </c>
      <c r="C21" s="56">
        <f t="shared" ref="C21:C22" si="1">SUMIF(A9:A18,A21,B9:B18)</f>
        <v>3370</v>
      </c>
      <c r="D21" s="56">
        <f>AVERAGEIF(A8:A17,A21,B8:B17)</f>
        <v>1123.3333333333333</v>
      </c>
    </row>
    <row r="22" spans="1:4" x14ac:dyDescent="0.35">
      <c r="A22" s="55" t="s">
        <v>102</v>
      </c>
      <c r="B22" s="56">
        <f t="shared" si="0"/>
        <v>3</v>
      </c>
      <c r="C22" s="56">
        <f t="shared" si="1"/>
        <v>3190</v>
      </c>
      <c r="D22" s="56">
        <f t="shared" ref="D22" si="2">AVERAGEIF(A10:A19,A22,B10:B19)</f>
        <v>1063.3333333333333</v>
      </c>
    </row>
  </sheetData>
  <mergeCells count="1">
    <mergeCell ref="A5:C5"/>
  </mergeCells>
  <pageMargins left="0.7" right="0.7" top="0.75" bottom="0.75" header="0.3" footer="0.3"/>
  <ignoredErrors>
    <ignoredError sqref="D2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6BB7-8FF5-4486-8FC2-3CBF94815512}">
  <dimension ref="A1:F18"/>
  <sheetViews>
    <sheetView topLeftCell="A5" workbookViewId="0">
      <selection activeCell="E16" sqref="E16"/>
    </sheetView>
  </sheetViews>
  <sheetFormatPr baseColWidth="10" defaultRowHeight="14.5" x14ac:dyDescent="0.35"/>
  <cols>
    <col min="1" max="1" width="13.81640625" customWidth="1"/>
    <col min="2" max="2" width="17.36328125" customWidth="1"/>
    <col min="3" max="3" width="18.26953125" customWidth="1"/>
    <col min="4" max="4" width="14.90625" customWidth="1"/>
    <col min="5" max="5" width="17.7265625" customWidth="1"/>
    <col min="6" max="6" width="19.90625" customWidth="1"/>
  </cols>
  <sheetData>
    <row r="1" spans="1:6" x14ac:dyDescent="0.35">
      <c r="A1" s="3" t="s">
        <v>13</v>
      </c>
      <c r="B1" s="3" t="s">
        <v>38</v>
      </c>
      <c r="C1" s="3" t="s">
        <v>39</v>
      </c>
      <c r="D1" s="3" t="s">
        <v>40</v>
      </c>
      <c r="E1" s="3" t="s">
        <v>2</v>
      </c>
      <c r="F1" s="3" t="s">
        <v>41</v>
      </c>
    </row>
    <row r="2" spans="1:6" x14ac:dyDescent="0.35">
      <c r="A2" s="4">
        <v>1</v>
      </c>
      <c r="B2" s="5" t="s">
        <v>9</v>
      </c>
      <c r="C2" s="5" t="s">
        <v>42</v>
      </c>
      <c r="D2" s="5" t="s">
        <v>36</v>
      </c>
      <c r="E2" s="5" t="s">
        <v>4</v>
      </c>
      <c r="F2" s="2">
        <v>500000</v>
      </c>
    </row>
    <row r="3" spans="1:6" x14ac:dyDescent="0.35">
      <c r="A3" s="4">
        <v>2</v>
      </c>
      <c r="B3" s="5" t="s">
        <v>43</v>
      </c>
      <c r="C3" s="5" t="s">
        <v>44</v>
      </c>
      <c r="D3" s="5" t="s">
        <v>36</v>
      </c>
      <c r="E3" s="5" t="s">
        <v>4</v>
      </c>
      <c r="F3" s="2">
        <v>700000</v>
      </c>
    </row>
    <row r="4" spans="1:6" x14ac:dyDescent="0.35">
      <c r="A4" s="4">
        <v>3</v>
      </c>
      <c r="B4" s="5" t="s">
        <v>12</v>
      </c>
      <c r="C4" s="5" t="s">
        <v>42</v>
      </c>
      <c r="D4" s="5" t="s">
        <v>45</v>
      </c>
      <c r="E4" s="5" t="s">
        <v>7</v>
      </c>
      <c r="F4" s="2">
        <v>400000</v>
      </c>
    </row>
    <row r="5" spans="1:6" x14ac:dyDescent="0.35">
      <c r="A5" s="4">
        <v>4</v>
      </c>
      <c r="B5" s="5" t="s">
        <v>8</v>
      </c>
      <c r="C5" s="5" t="s">
        <v>44</v>
      </c>
      <c r="D5" s="5" t="s">
        <v>36</v>
      </c>
      <c r="E5" s="5" t="s">
        <v>7</v>
      </c>
      <c r="F5" s="2">
        <v>600000</v>
      </c>
    </row>
    <row r="6" spans="1:6" x14ac:dyDescent="0.35">
      <c r="A6" s="4">
        <v>5</v>
      </c>
      <c r="B6" s="5" t="s">
        <v>46</v>
      </c>
      <c r="C6" s="5" t="s">
        <v>42</v>
      </c>
      <c r="D6" s="5" t="s">
        <v>36</v>
      </c>
      <c r="E6" s="5" t="s">
        <v>4</v>
      </c>
      <c r="F6" s="2">
        <v>800000</v>
      </c>
    </row>
    <row r="7" spans="1:6" x14ac:dyDescent="0.35">
      <c r="A7" s="4">
        <v>6</v>
      </c>
      <c r="B7" s="5" t="s">
        <v>47</v>
      </c>
      <c r="C7" s="5" t="s">
        <v>44</v>
      </c>
      <c r="D7" s="5" t="s">
        <v>45</v>
      </c>
      <c r="E7" s="5" t="s">
        <v>4</v>
      </c>
      <c r="F7" s="2">
        <v>500000</v>
      </c>
    </row>
    <row r="8" spans="1:6" x14ac:dyDescent="0.35">
      <c r="A8" s="4">
        <v>7</v>
      </c>
      <c r="B8" s="5" t="s">
        <v>48</v>
      </c>
      <c r="C8" s="5" t="s">
        <v>42</v>
      </c>
      <c r="D8" s="5" t="s">
        <v>36</v>
      </c>
      <c r="E8" s="5" t="s">
        <v>7</v>
      </c>
      <c r="F8" s="2">
        <v>600000</v>
      </c>
    </row>
    <row r="9" spans="1:6" x14ac:dyDescent="0.35">
      <c r="A9" s="4">
        <v>8</v>
      </c>
      <c r="B9" s="5" t="s">
        <v>49</v>
      </c>
      <c r="C9" s="5" t="s">
        <v>44</v>
      </c>
      <c r="D9" s="5" t="s">
        <v>36</v>
      </c>
      <c r="E9" s="5" t="s">
        <v>4</v>
      </c>
      <c r="F9" s="2">
        <v>900000</v>
      </c>
    </row>
    <row r="10" spans="1:6" x14ac:dyDescent="0.35">
      <c r="A10" s="4">
        <v>9</v>
      </c>
      <c r="B10" s="5" t="s">
        <v>50</v>
      </c>
      <c r="C10" s="5" t="s">
        <v>42</v>
      </c>
      <c r="D10" s="5" t="s">
        <v>45</v>
      </c>
      <c r="E10" s="5" t="s">
        <v>4</v>
      </c>
      <c r="F10" s="2">
        <v>300000</v>
      </c>
    </row>
    <row r="11" spans="1:6" x14ac:dyDescent="0.35">
      <c r="A11" s="4">
        <v>10</v>
      </c>
      <c r="B11" s="5" t="s">
        <v>51</v>
      </c>
      <c r="C11" s="5" t="s">
        <v>44</v>
      </c>
      <c r="D11" s="5" t="s">
        <v>36</v>
      </c>
      <c r="E11" s="5" t="s">
        <v>7</v>
      </c>
      <c r="F11" s="2">
        <v>750000</v>
      </c>
    </row>
    <row r="14" spans="1:6" x14ac:dyDescent="0.35">
      <c r="A14" s="41"/>
      <c r="B14" s="41"/>
      <c r="C14" s="41"/>
      <c r="D14" s="41"/>
      <c r="E14" s="42" t="s">
        <v>95</v>
      </c>
    </row>
    <row r="15" spans="1:6" x14ac:dyDescent="0.35">
      <c r="A15" s="41"/>
      <c r="B15" s="41"/>
      <c r="C15" s="41"/>
      <c r="D15" s="41"/>
      <c r="E15" s="43"/>
    </row>
    <row r="16" spans="1:6" x14ac:dyDescent="0.35">
      <c r="A16" s="38" t="s">
        <v>52</v>
      </c>
      <c r="B16" s="39" t="s">
        <v>53</v>
      </c>
      <c r="C16" s="39"/>
      <c r="D16" s="39"/>
      <c r="E16" s="45">
        <f>SUMIF(Tableau4[Service],"Commercial",Tableau4[Vente])</f>
        <v>4850000</v>
      </c>
    </row>
    <row r="17" spans="1:5" x14ac:dyDescent="0.35">
      <c r="A17" s="46" t="s">
        <v>87</v>
      </c>
      <c r="B17" s="44" t="s">
        <v>54</v>
      </c>
      <c r="C17" s="44"/>
      <c r="D17" s="41"/>
      <c r="E17" s="47">
        <f>SUMIF(Tableau4[Sexe],"Femme",Tableau4[Vente])</f>
        <v>3450000</v>
      </c>
    </row>
    <row r="18" spans="1:5" x14ac:dyDescent="0.35">
      <c r="A18" s="40" t="s">
        <v>88</v>
      </c>
      <c r="B18" s="48" t="s">
        <v>55</v>
      </c>
      <c r="C18" s="48"/>
      <c r="D18" s="31"/>
      <c r="E18" s="49">
        <f>SUMIF(Tableau4[Ville],"Conakry",Tableau4[Vente])</f>
        <v>3700000</v>
      </c>
    </row>
  </sheetData>
  <mergeCells count="3">
    <mergeCell ref="B17:C17"/>
    <mergeCell ref="B18:C18"/>
    <mergeCell ref="B16:D16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B700D-D42F-4FC9-9754-2E5E4B612F64}">
  <dimension ref="A1:F15"/>
  <sheetViews>
    <sheetView workbookViewId="0">
      <selection activeCell="H9" sqref="H9"/>
    </sheetView>
  </sheetViews>
  <sheetFormatPr baseColWidth="10" defaultRowHeight="14.5" x14ac:dyDescent="0.35"/>
  <cols>
    <col min="4" max="4" width="18.453125" customWidth="1"/>
    <col min="5" max="5" width="21.90625" customWidth="1"/>
  </cols>
  <sheetData>
    <row r="1" spans="1:6" x14ac:dyDescent="0.35">
      <c r="A1" s="8" t="s">
        <v>13</v>
      </c>
      <c r="B1" s="8" t="s">
        <v>64</v>
      </c>
      <c r="C1" s="8" t="s">
        <v>65</v>
      </c>
      <c r="D1" s="8" t="s">
        <v>66</v>
      </c>
      <c r="E1" s="8" t="s">
        <v>58</v>
      </c>
    </row>
    <row r="2" spans="1:6" x14ac:dyDescent="0.35">
      <c r="A2" s="9">
        <v>1</v>
      </c>
      <c r="B2" s="9" t="s">
        <v>67</v>
      </c>
      <c r="C2" s="9" t="s">
        <v>68</v>
      </c>
      <c r="D2" s="9" t="s">
        <v>69</v>
      </c>
      <c r="E2" s="9">
        <v>14</v>
      </c>
    </row>
    <row r="3" spans="1:6" x14ac:dyDescent="0.35">
      <c r="A3" s="9">
        <v>2</v>
      </c>
      <c r="B3" s="9" t="s">
        <v>70</v>
      </c>
      <c r="C3" s="9" t="s">
        <v>71</v>
      </c>
      <c r="D3" s="9" t="s">
        <v>69</v>
      </c>
      <c r="E3" s="9">
        <v>8</v>
      </c>
    </row>
    <row r="4" spans="1:6" x14ac:dyDescent="0.35">
      <c r="A4" s="9">
        <v>3</v>
      </c>
      <c r="B4" s="9" t="s">
        <v>72</v>
      </c>
      <c r="C4" s="9" t="s">
        <v>68</v>
      </c>
      <c r="D4" s="9" t="s">
        <v>69</v>
      </c>
      <c r="E4" s="9">
        <v>12</v>
      </c>
    </row>
    <row r="5" spans="1:6" x14ac:dyDescent="0.35">
      <c r="A5" s="9">
        <v>4</v>
      </c>
      <c r="B5" s="9" t="s">
        <v>73</v>
      </c>
      <c r="C5" s="9" t="s">
        <v>74</v>
      </c>
      <c r="D5" s="9" t="s">
        <v>69</v>
      </c>
      <c r="E5" s="9">
        <v>9</v>
      </c>
    </row>
    <row r="6" spans="1:6" x14ac:dyDescent="0.35">
      <c r="A6" s="9">
        <v>5</v>
      </c>
      <c r="B6" s="9" t="s">
        <v>75</v>
      </c>
      <c r="C6" s="9" t="s">
        <v>71</v>
      </c>
      <c r="D6" s="9" t="s">
        <v>69</v>
      </c>
      <c r="E6" s="9">
        <v>16</v>
      </c>
    </row>
    <row r="7" spans="1:6" x14ac:dyDescent="0.35">
      <c r="A7" s="9">
        <v>6</v>
      </c>
      <c r="B7" s="9" t="s">
        <v>8</v>
      </c>
      <c r="C7" s="9" t="s">
        <v>68</v>
      </c>
      <c r="D7" s="9" t="s">
        <v>69</v>
      </c>
      <c r="E7" s="9">
        <v>11</v>
      </c>
    </row>
    <row r="8" spans="1:6" x14ac:dyDescent="0.35">
      <c r="A8" s="9">
        <v>7</v>
      </c>
      <c r="B8" s="9" t="s">
        <v>76</v>
      </c>
      <c r="C8" s="9" t="s">
        <v>74</v>
      </c>
      <c r="D8" s="9" t="s">
        <v>69</v>
      </c>
      <c r="E8" s="9">
        <v>7</v>
      </c>
    </row>
    <row r="9" spans="1:6" x14ac:dyDescent="0.35">
      <c r="A9" s="9">
        <v>8</v>
      </c>
      <c r="B9" s="9" t="s">
        <v>77</v>
      </c>
      <c r="C9" s="9" t="s">
        <v>71</v>
      </c>
      <c r="D9" s="9" t="s">
        <v>69</v>
      </c>
      <c r="E9" s="9">
        <v>15</v>
      </c>
    </row>
    <row r="10" spans="1:6" x14ac:dyDescent="0.35">
      <c r="A10" s="9">
        <v>9</v>
      </c>
      <c r="B10" s="9" t="s">
        <v>78</v>
      </c>
      <c r="C10" s="9" t="s">
        <v>68</v>
      </c>
      <c r="D10" s="9" t="s">
        <v>69</v>
      </c>
      <c r="E10" s="9">
        <v>10</v>
      </c>
    </row>
    <row r="11" spans="1:6" x14ac:dyDescent="0.35">
      <c r="A11" s="9">
        <v>10</v>
      </c>
      <c r="B11" s="9" t="s">
        <v>79</v>
      </c>
      <c r="C11" s="9" t="s">
        <v>74</v>
      </c>
      <c r="D11" s="9" t="s">
        <v>69</v>
      </c>
      <c r="E11" s="9">
        <v>13</v>
      </c>
    </row>
    <row r="12" spans="1:6" ht="15" thickBot="1" x14ac:dyDescent="0.4"/>
    <row r="13" spans="1:6" x14ac:dyDescent="0.35">
      <c r="A13" s="16" t="s">
        <v>80</v>
      </c>
      <c r="B13" s="17" t="s">
        <v>81</v>
      </c>
      <c r="C13" s="17"/>
      <c r="D13" s="17"/>
      <c r="E13" s="17"/>
      <c r="F13" s="23">
        <v>7</v>
      </c>
    </row>
    <row r="14" spans="1:6" x14ac:dyDescent="0.35">
      <c r="A14" s="18" t="s">
        <v>89</v>
      </c>
      <c r="B14" s="19" t="s">
        <v>82</v>
      </c>
      <c r="C14" s="19"/>
      <c r="D14" s="19"/>
      <c r="E14" s="19"/>
      <c r="F14" s="24">
        <f>COUNTIF(Tableau6[Note],"&lt;10")</f>
        <v>3</v>
      </c>
    </row>
    <row r="15" spans="1:6" ht="15" thickBot="1" x14ac:dyDescent="0.4">
      <c r="A15" s="20" t="s">
        <v>83</v>
      </c>
      <c r="B15" s="21" t="s">
        <v>84</v>
      </c>
      <c r="C15" s="22"/>
      <c r="D15" s="22"/>
      <c r="E15" s="22"/>
      <c r="F15" s="25">
        <f>COUNTIF(Tableau6[Classe],"10e A")</f>
        <v>4</v>
      </c>
    </row>
  </sheetData>
  <mergeCells count="2">
    <mergeCell ref="B13:E13"/>
    <mergeCell ref="B14:E14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E4C5A-7CB8-4F9B-AF69-01908B5043AD}">
  <dimension ref="A1:F15"/>
  <sheetViews>
    <sheetView topLeftCell="B1" workbookViewId="0">
      <selection activeCell="F16" sqref="F16"/>
    </sheetView>
  </sheetViews>
  <sheetFormatPr baseColWidth="10" defaultRowHeight="14.5" x14ac:dyDescent="0.35"/>
  <cols>
    <col min="1" max="1" width="14" customWidth="1"/>
    <col min="2" max="2" width="14.90625" customWidth="1"/>
    <col min="3" max="3" width="17.08984375" customWidth="1"/>
    <col min="4" max="4" width="17.453125" customWidth="1"/>
    <col min="5" max="5" width="18.36328125" customWidth="1"/>
    <col min="6" max="6" width="26" customWidth="1"/>
  </cols>
  <sheetData>
    <row r="1" spans="1:6" x14ac:dyDescent="0.35">
      <c r="A1" s="7" t="s">
        <v>13</v>
      </c>
      <c r="B1" s="7" t="s">
        <v>56</v>
      </c>
      <c r="C1" s="7" t="s">
        <v>40</v>
      </c>
      <c r="D1" s="7" t="s">
        <v>57</v>
      </c>
      <c r="E1" s="7" t="s">
        <v>58</v>
      </c>
    </row>
    <row r="2" spans="1:6" x14ac:dyDescent="0.35">
      <c r="A2" s="2">
        <v>1</v>
      </c>
      <c r="B2" s="2" t="s">
        <v>5</v>
      </c>
      <c r="C2" s="2" t="s">
        <v>59</v>
      </c>
      <c r="D2" s="2" t="s">
        <v>60</v>
      </c>
      <c r="E2" s="2">
        <v>15</v>
      </c>
    </row>
    <row r="3" spans="1:6" x14ac:dyDescent="0.35">
      <c r="A3" s="2">
        <v>2</v>
      </c>
      <c r="B3" s="2" t="s">
        <v>8</v>
      </c>
      <c r="C3" s="2" t="s">
        <v>61</v>
      </c>
      <c r="D3" s="2" t="s">
        <v>60</v>
      </c>
      <c r="E3" s="2">
        <v>13</v>
      </c>
    </row>
    <row r="4" spans="1:6" x14ac:dyDescent="0.35">
      <c r="A4" s="2">
        <v>3</v>
      </c>
      <c r="B4" s="2" t="s">
        <v>46</v>
      </c>
      <c r="C4" s="2" t="s">
        <v>59</v>
      </c>
      <c r="D4" s="2" t="s">
        <v>60</v>
      </c>
      <c r="E4" s="2">
        <v>17</v>
      </c>
    </row>
    <row r="5" spans="1:6" x14ac:dyDescent="0.35">
      <c r="A5" s="2">
        <v>4</v>
      </c>
      <c r="B5" s="2" t="s">
        <v>43</v>
      </c>
      <c r="C5" s="2" t="s">
        <v>62</v>
      </c>
      <c r="D5" s="2" t="s">
        <v>60</v>
      </c>
      <c r="E5" s="2">
        <v>14</v>
      </c>
    </row>
    <row r="6" spans="1:6" x14ac:dyDescent="0.35">
      <c r="A6" s="2">
        <v>5</v>
      </c>
      <c r="B6" s="2" t="s">
        <v>12</v>
      </c>
      <c r="C6" s="2" t="s">
        <v>59</v>
      </c>
      <c r="D6" s="2" t="s">
        <v>60</v>
      </c>
      <c r="E6" s="2">
        <v>12</v>
      </c>
    </row>
    <row r="7" spans="1:6" x14ac:dyDescent="0.35">
      <c r="A7" s="2">
        <v>6</v>
      </c>
      <c r="B7" s="2" t="s">
        <v>47</v>
      </c>
      <c r="C7" s="2" t="s">
        <v>61</v>
      </c>
      <c r="D7" s="2" t="s">
        <v>60</v>
      </c>
      <c r="E7" s="2">
        <v>16</v>
      </c>
    </row>
    <row r="8" spans="1:6" x14ac:dyDescent="0.35">
      <c r="A8" s="2">
        <v>7</v>
      </c>
      <c r="B8" s="2" t="s">
        <v>50</v>
      </c>
      <c r="C8" s="2" t="s">
        <v>59</v>
      </c>
      <c r="D8" s="2" t="s">
        <v>60</v>
      </c>
      <c r="E8" s="2">
        <v>18</v>
      </c>
    </row>
    <row r="9" spans="1:6" x14ac:dyDescent="0.35">
      <c r="A9" s="2">
        <v>8</v>
      </c>
      <c r="B9" s="2" t="s">
        <v>49</v>
      </c>
      <c r="C9" s="2" t="s">
        <v>62</v>
      </c>
      <c r="D9" s="2" t="s">
        <v>60</v>
      </c>
      <c r="E9" s="2">
        <v>15</v>
      </c>
    </row>
    <row r="10" spans="1:6" x14ac:dyDescent="0.35">
      <c r="A10" s="2">
        <v>9</v>
      </c>
      <c r="B10" s="2" t="s">
        <v>48</v>
      </c>
      <c r="C10" s="2" t="s">
        <v>61</v>
      </c>
      <c r="D10" s="2" t="s">
        <v>60</v>
      </c>
      <c r="E10" s="2">
        <v>11</v>
      </c>
    </row>
    <row r="11" spans="1:6" x14ac:dyDescent="0.35">
      <c r="A11" s="2">
        <v>10</v>
      </c>
      <c r="B11" s="2" t="s">
        <v>51</v>
      </c>
      <c r="C11" s="2" t="s">
        <v>59</v>
      </c>
      <c r="D11" s="2" t="s">
        <v>60</v>
      </c>
      <c r="E11" s="2">
        <v>16</v>
      </c>
    </row>
    <row r="13" spans="1:6" x14ac:dyDescent="0.35">
      <c r="A13" t="s">
        <v>63</v>
      </c>
      <c r="B13" s="26" t="s">
        <v>91</v>
      </c>
      <c r="C13" s="26"/>
      <c r="D13" s="26"/>
      <c r="E13" s="14"/>
      <c r="F13" s="15">
        <f>AVERAGEIF(Tableau5[Service],"Informatique",Tableau5[Note])</f>
        <v>15.6</v>
      </c>
    </row>
    <row r="14" spans="1:6" x14ac:dyDescent="0.35">
      <c r="A14" t="s">
        <v>63</v>
      </c>
      <c r="B14" s="26" t="s">
        <v>90</v>
      </c>
      <c r="C14" s="26"/>
      <c r="D14" s="26"/>
      <c r="E14" s="14"/>
      <c r="F14" s="15">
        <f>AVERAGEIF(Tableau5[Service],"Comptabilité",Tableau5[Note])</f>
        <v>13.333333333333334</v>
      </c>
    </row>
    <row r="15" spans="1:6" x14ac:dyDescent="0.35">
      <c r="B15" s="12"/>
      <c r="C15" s="12"/>
      <c r="D15" s="12"/>
      <c r="E15" s="12"/>
      <c r="F15" s="12"/>
    </row>
  </sheetData>
  <mergeCells count="1">
    <mergeCell ref="B15:F15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AB47D-2A35-4D25-BA9D-A267BC2C9F1E}">
  <dimension ref="A1:M15"/>
  <sheetViews>
    <sheetView workbookViewId="0">
      <selection activeCell="E18" sqref="E18"/>
    </sheetView>
  </sheetViews>
  <sheetFormatPr baseColWidth="10" defaultRowHeight="14.5" x14ac:dyDescent="0.35"/>
  <cols>
    <col min="1" max="1" width="12.7265625" customWidth="1"/>
    <col min="3" max="3" width="16.90625" customWidth="1"/>
    <col min="4" max="4" width="21.36328125" customWidth="1"/>
    <col min="5" max="5" width="39" customWidth="1"/>
  </cols>
  <sheetData>
    <row r="1" spans="1:13" ht="29" customHeight="1" x14ac:dyDescent="0.35">
      <c r="A1" s="3" t="s">
        <v>36</v>
      </c>
      <c r="B1" s="3" t="s">
        <v>0</v>
      </c>
      <c r="C1" s="3" t="s">
        <v>2</v>
      </c>
      <c r="D1" s="3" t="s">
        <v>1</v>
      </c>
      <c r="E1" s="3" t="s">
        <v>37</v>
      </c>
      <c r="G1" s="13"/>
      <c r="H1" s="13"/>
      <c r="I1" s="13"/>
      <c r="J1" s="13"/>
      <c r="K1" s="13"/>
      <c r="L1" s="13"/>
      <c r="M1" s="13"/>
    </row>
    <row r="2" spans="1:13" x14ac:dyDescent="0.35">
      <c r="A2" s="2" t="s">
        <v>5</v>
      </c>
      <c r="B2" s="2" t="s">
        <v>3</v>
      </c>
      <c r="C2" s="2" t="s">
        <v>4</v>
      </c>
      <c r="D2" s="2">
        <v>5</v>
      </c>
      <c r="E2" s="10">
        <v>250000</v>
      </c>
    </row>
    <row r="3" spans="1:13" x14ac:dyDescent="0.35">
      <c r="A3" s="2" t="s">
        <v>8</v>
      </c>
      <c r="B3" s="2" t="s">
        <v>6</v>
      </c>
      <c r="C3" s="2" t="s">
        <v>7</v>
      </c>
      <c r="D3" s="2">
        <v>3</v>
      </c>
      <c r="E3" s="10">
        <v>150000</v>
      </c>
    </row>
    <row r="4" spans="1:13" x14ac:dyDescent="0.35">
      <c r="A4" s="2" t="s">
        <v>5</v>
      </c>
      <c r="B4" s="2" t="s">
        <v>10</v>
      </c>
      <c r="C4" s="2" t="s">
        <v>4</v>
      </c>
      <c r="D4" s="2">
        <v>4</v>
      </c>
      <c r="E4" s="10">
        <v>300000</v>
      </c>
    </row>
    <row r="5" spans="1:13" x14ac:dyDescent="0.35">
      <c r="A5" s="2" t="s">
        <v>12</v>
      </c>
      <c r="B5" s="2" t="s">
        <v>3</v>
      </c>
      <c r="C5" s="2" t="s">
        <v>11</v>
      </c>
      <c r="D5" s="2">
        <v>6</v>
      </c>
      <c r="E5" s="10">
        <v>300000</v>
      </c>
    </row>
    <row r="6" spans="1:13" x14ac:dyDescent="0.35">
      <c r="A6" s="2" t="s">
        <v>8</v>
      </c>
      <c r="B6" s="2" t="s">
        <v>10</v>
      </c>
      <c r="C6" s="2" t="s">
        <v>4</v>
      </c>
      <c r="D6" s="2">
        <v>2</v>
      </c>
      <c r="E6" s="10">
        <v>180000</v>
      </c>
    </row>
    <row r="7" spans="1:13" x14ac:dyDescent="0.35">
      <c r="A7" s="2" t="s">
        <v>5</v>
      </c>
      <c r="B7" s="2" t="s">
        <v>6</v>
      </c>
      <c r="C7" s="2" t="s">
        <v>7</v>
      </c>
      <c r="D7" s="2">
        <v>5</v>
      </c>
      <c r="E7" s="10">
        <v>250000</v>
      </c>
    </row>
    <row r="8" spans="1:13" x14ac:dyDescent="0.35">
      <c r="A8" s="2" t="s">
        <v>12</v>
      </c>
      <c r="B8" s="2" t="s">
        <v>10</v>
      </c>
      <c r="C8" s="2" t="s">
        <v>11</v>
      </c>
      <c r="D8" s="2">
        <v>3</v>
      </c>
      <c r="E8" s="10">
        <v>240000</v>
      </c>
    </row>
    <row r="9" spans="1:13" x14ac:dyDescent="0.35">
      <c r="A9" s="2" t="s">
        <v>8</v>
      </c>
      <c r="B9" s="2" t="s">
        <v>3</v>
      </c>
      <c r="C9" s="2" t="s">
        <v>4</v>
      </c>
      <c r="D9" s="2">
        <v>4</v>
      </c>
      <c r="E9" s="10">
        <v>200000</v>
      </c>
    </row>
    <row r="10" spans="1:13" x14ac:dyDescent="0.35">
      <c r="A10" s="2" t="s">
        <v>5</v>
      </c>
      <c r="B10" s="2" t="s">
        <v>10</v>
      </c>
      <c r="C10" s="2" t="s">
        <v>4</v>
      </c>
      <c r="D10" s="2">
        <v>2</v>
      </c>
      <c r="E10" s="10">
        <v>160000</v>
      </c>
    </row>
    <row r="11" spans="1:13" x14ac:dyDescent="0.35">
      <c r="A11" s="2" t="s">
        <v>12</v>
      </c>
      <c r="B11" s="2" t="s">
        <v>6</v>
      </c>
      <c r="C11" s="2" t="s">
        <v>11</v>
      </c>
      <c r="D11" s="2">
        <v>5</v>
      </c>
      <c r="E11" s="10">
        <v>275000</v>
      </c>
    </row>
    <row r="14" spans="1:13" x14ac:dyDescent="0.35">
      <c r="A14" s="38" t="s">
        <v>80</v>
      </c>
      <c r="B14" s="39" t="s">
        <v>92</v>
      </c>
      <c r="C14" s="39"/>
      <c r="D14" s="39"/>
      <c r="E14" s="39"/>
      <c r="F14" s="32">
        <f>SUMIFS(Tableau1[Montant vente],Tableau1[Commercial],"Amadou",Tableau1[Ville],"Conakry")</f>
        <v>710000</v>
      </c>
      <c r="G14" s="37"/>
    </row>
    <row r="15" spans="1:13" x14ac:dyDescent="0.35">
      <c r="A15" s="40" t="s">
        <v>89</v>
      </c>
      <c r="B15" s="30" t="s">
        <v>96</v>
      </c>
      <c r="C15" s="30"/>
      <c r="D15" s="30"/>
      <c r="E15" s="30"/>
      <c r="F15" s="33">
        <f>SUMIFS(Tableau1[Montant vente],Tableau1[Commercial],"Ibrahima",Tableau1[Ville],"Kankan")</f>
        <v>815000</v>
      </c>
    </row>
  </sheetData>
  <mergeCells count="3">
    <mergeCell ref="G1:M1"/>
    <mergeCell ref="B14:E14"/>
    <mergeCell ref="B15:E15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8059E-EEDE-406F-B829-EF6F08316EE9}">
  <dimension ref="A1:G15"/>
  <sheetViews>
    <sheetView workbookViewId="0">
      <selection activeCell="G8" sqref="G8"/>
    </sheetView>
  </sheetViews>
  <sheetFormatPr baseColWidth="10" defaultRowHeight="14.5" x14ac:dyDescent="0.35"/>
  <cols>
    <col min="1" max="1" width="21.1796875" customWidth="1"/>
    <col min="4" max="4" width="22.81640625" customWidth="1"/>
    <col min="5" max="5" width="22.54296875" customWidth="1"/>
  </cols>
  <sheetData>
    <row r="1" spans="1:7" x14ac:dyDescent="0.35">
      <c r="A1" s="8" t="s">
        <v>36</v>
      </c>
      <c r="B1" s="8" t="s">
        <v>0</v>
      </c>
      <c r="C1" s="8" t="s">
        <v>2</v>
      </c>
      <c r="D1" s="8" t="s">
        <v>1</v>
      </c>
      <c r="E1" s="8" t="s">
        <v>37</v>
      </c>
    </row>
    <row r="2" spans="1:7" x14ac:dyDescent="0.35">
      <c r="A2" s="9" t="s">
        <v>5</v>
      </c>
      <c r="B2" s="9" t="s">
        <v>3</v>
      </c>
      <c r="C2" s="9" t="s">
        <v>4</v>
      </c>
      <c r="D2" s="9">
        <v>5</v>
      </c>
      <c r="E2" s="11">
        <v>250000</v>
      </c>
    </row>
    <row r="3" spans="1:7" x14ac:dyDescent="0.35">
      <c r="A3" s="9" t="s">
        <v>8</v>
      </c>
      <c r="B3" s="9" t="s">
        <v>6</v>
      </c>
      <c r="C3" s="9" t="s">
        <v>7</v>
      </c>
      <c r="D3" s="9">
        <v>3</v>
      </c>
      <c r="E3" s="11">
        <v>150000</v>
      </c>
    </row>
    <row r="4" spans="1:7" x14ac:dyDescent="0.35">
      <c r="A4" s="9" t="s">
        <v>5</v>
      </c>
      <c r="B4" s="9" t="s">
        <v>10</v>
      </c>
      <c r="C4" s="9" t="s">
        <v>4</v>
      </c>
      <c r="D4" s="9">
        <v>4</v>
      </c>
      <c r="E4" s="11">
        <v>300000</v>
      </c>
    </row>
    <row r="5" spans="1:7" x14ac:dyDescent="0.35">
      <c r="A5" s="9" t="s">
        <v>12</v>
      </c>
      <c r="B5" s="9" t="s">
        <v>3</v>
      </c>
      <c r="C5" s="9" t="s">
        <v>11</v>
      </c>
      <c r="D5" s="9">
        <v>6</v>
      </c>
      <c r="E5" s="11">
        <v>300000</v>
      </c>
    </row>
    <row r="6" spans="1:7" x14ac:dyDescent="0.35">
      <c r="A6" s="9" t="s">
        <v>8</v>
      </c>
      <c r="B6" s="9" t="s">
        <v>10</v>
      </c>
      <c r="C6" s="9" t="s">
        <v>4</v>
      </c>
      <c r="D6" s="9">
        <v>2</v>
      </c>
      <c r="E6" s="11">
        <v>180000</v>
      </c>
    </row>
    <row r="7" spans="1:7" x14ac:dyDescent="0.35">
      <c r="A7" s="9" t="s">
        <v>5</v>
      </c>
      <c r="B7" s="9" t="s">
        <v>6</v>
      </c>
      <c r="C7" s="9" t="s">
        <v>7</v>
      </c>
      <c r="D7" s="9">
        <v>5</v>
      </c>
      <c r="E7" s="11">
        <v>250000</v>
      </c>
    </row>
    <row r="8" spans="1:7" x14ac:dyDescent="0.35">
      <c r="A8" s="9" t="s">
        <v>12</v>
      </c>
      <c r="B8" s="9" t="s">
        <v>10</v>
      </c>
      <c r="C8" s="9" t="s">
        <v>11</v>
      </c>
      <c r="D8" s="9">
        <v>3</v>
      </c>
      <c r="E8" s="11">
        <v>240000</v>
      </c>
    </row>
    <row r="9" spans="1:7" x14ac:dyDescent="0.35">
      <c r="A9" s="9" t="s">
        <v>8</v>
      </c>
      <c r="B9" s="9" t="s">
        <v>3</v>
      </c>
      <c r="C9" s="9" t="s">
        <v>4</v>
      </c>
      <c r="D9" s="9">
        <v>4</v>
      </c>
      <c r="E9" s="11">
        <v>200000</v>
      </c>
    </row>
    <row r="10" spans="1:7" x14ac:dyDescent="0.35">
      <c r="A10" s="9" t="s">
        <v>5</v>
      </c>
      <c r="B10" s="9" t="s">
        <v>10</v>
      </c>
      <c r="C10" s="9" t="s">
        <v>4</v>
      </c>
      <c r="D10" s="9">
        <v>2</v>
      </c>
      <c r="E10" s="11">
        <v>160000</v>
      </c>
    </row>
    <row r="11" spans="1:7" x14ac:dyDescent="0.35">
      <c r="A11" s="9" t="s">
        <v>12</v>
      </c>
      <c r="B11" s="9" t="s">
        <v>6</v>
      </c>
      <c r="C11" s="9" t="s">
        <v>11</v>
      </c>
      <c r="D11" s="9">
        <v>5</v>
      </c>
      <c r="E11" s="11">
        <v>275000</v>
      </c>
    </row>
    <row r="14" spans="1:7" x14ac:dyDescent="0.35">
      <c r="A14" s="34" t="s">
        <v>80</v>
      </c>
      <c r="B14" s="35" t="s">
        <v>85</v>
      </c>
      <c r="C14" s="35"/>
      <c r="D14" s="35"/>
      <c r="E14" s="35"/>
      <c r="F14" s="35"/>
      <c r="G14" s="32">
        <f>COUNTIFS(Tableau13[Commercial],"Amadou",Tableau13[Ville],"Conakry")</f>
        <v>3</v>
      </c>
    </row>
    <row r="15" spans="1:7" x14ac:dyDescent="0.35">
      <c r="A15" s="36" t="s">
        <v>89</v>
      </c>
      <c r="B15" s="30" t="s">
        <v>86</v>
      </c>
      <c r="C15" s="30"/>
      <c r="D15" s="30"/>
      <c r="E15" s="30"/>
      <c r="F15" s="30"/>
      <c r="G15" s="33">
        <f>COUNTIFS(Tableau13[Commercial],"Fatou",Tableau13[Ville],"Conakry")</f>
        <v>2</v>
      </c>
    </row>
  </sheetData>
  <mergeCells count="2">
    <mergeCell ref="B14:F14"/>
    <mergeCell ref="B15:F15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92289-5524-4112-A904-A3404AE7510A}">
  <dimension ref="A1:F16"/>
  <sheetViews>
    <sheetView topLeftCell="A7" workbookViewId="0">
      <selection activeCell="F13" sqref="F13:F14"/>
    </sheetView>
  </sheetViews>
  <sheetFormatPr baseColWidth="10" defaultRowHeight="14.5" x14ac:dyDescent="0.35"/>
  <cols>
    <col min="1" max="1" width="19.81640625" customWidth="1"/>
    <col min="2" max="2" width="22" customWidth="1"/>
    <col min="3" max="3" width="17.7265625" customWidth="1"/>
    <col min="4" max="4" width="17.6328125" customWidth="1"/>
    <col min="5" max="5" width="16.81640625" customWidth="1"/>
    <col min="6" max="6" width="21.81640625" customWidth="1"/>
  </cols>
  <sheetData>
    <row r="1" spans="1:6" x14ac:dyDescent="0.35">
      <c r="A1" s="3" t="s">
        <v>13</v>
      </c>
      <c r="B1" s="3" t="s">
        <v>38</v>
      </c>
      <c r="C1" s="3" t="s">
        <v>39</v>
      </c>
      <c r="D1" s="3" t="s">
        <v>40</v>
      </c>
      <c r="E1" s="3" t="s">
        <v>2</v>
      </c>
      <c r="F1" s="3" t="s">
        <v>41</v>
      </c>
    </row>
    <row r="2" spans="1:6" x14ac:dyDescent="0.35">
      <c r="A2" s="4">
        <v>1</v>
      </c>
      <c r="B2" s="5" t="s">
        <v>9</v>
      </c>
      <c r="C2" s="5" t="s">
        <v>42</v>
      </c>
      <c r="D2" s="5" t="s">
        <v>36</v>
      </c>
      <c r="E2" s="5" t="s">
        <v>4</v>
      </c>
      <c r="F2" s="4">
        <v>500000</v>
      </c>
    </row>
    <row r="3" spans="1:6" x14ac:dyDescent="0.35">
      <c r="A3" s="4">
        <v>2</v>
      </c>
      <c r="B3" s="5" t="s">
        <v>43</v>
      </c>
      <c r="C3" s="5" t="s">
        <v>44</v>
      </c>
      <c r="D3" s="5" t="s">
        <v>36</v>
      </c>
      <c r="E3" s="5" t="s">
        <v>4</v>
      </c>
      <c r="F3" s="4">
        <v>700000</v>
      </c>
    </row>
    <row r="4" spans="1:6" x14ac:dyDescent="0.35">
      <c r="A4" s="4">
        <v>3</v>
      </c>
      <c r="B4" s="5" t="s">
        <v>12</v>
      </c>
      <c r="C4" s="5" t="s">
        <v>42</v>
      </c>
      <c r="D4" s="5" t="s">
        <v>45</v>
      </c>
      <c r="E4" s="5" t="s">
        <v>7</v>
      </c>
      <c r="F4" s="4">
        <v>400000</v>
      </c>
    </row>
    <row r="5" spans="1:6" x14ac:dyDescent="0.35">
      <c r="A5" s="4">
        <v>4</v>
      </c>
      <c r="B5" s="5" t="s">
        <v>8</v>
      </c>
      <c r="C5" s="5" t="s">
        <v>44</v>
      </c>
      <c r="D5" s="5" t="s">
        <v>36</v>
      </c>
      <c r="E5" s="5" t="s">
        <v>7</v>
      </c>
      <c r="F5" s="4">
        <v>600000</v>
      </c>
    </row>
    <row r="6" spans="1:6" x14ac:dyDescent="0.35">
      <c r="A6" s="4">
        <v>5</v>
      </c>
      <c r="B6" s="5" t="s">
        <v>46</v>
      </c>
      <c r="C6" s="5" t="s">
        <v>42</v>
      </c>
      <c r="D6" s="5" t="s">
        <v>36</v>
      </c>
      <c r="E6" s="5" t="s">
        <v>4</v>
      </c>
      <c r="F6" s="4">
        <v>800000</v>
      </c>
    </row>
    <row r="7" spans="1:6" x14ac:dyDescent="0.35">
      <c r="A7" s="4">
        <v>6</v>
      </c>
      <c r="B7" s="5" t="s">
        <v>47</v>
      </c>
      <c r="C7" s="5" t="s">
        <v>44</v>
      </c>
      <c r="D7" s="5" t="s">
        <v>45</v>
      </c>
      <c r="E7" s="5" t="s">
        <v>4</v>
      </c>
      <c r="F7" s="4">
        <v>500000</v>
      </c>
    </row>
    <row r="8" spans="1:6" x14ac:dyDescent="0.35">
      <c r="A8" s="4">
        <v>7</v>
      </c>
      <c r="B8" s="5" t="s">
        <v>48</v>
      </c>
      <c r="C8" s="5" t="s">
        <v>42</v>
      </c>
      <c r="D8" s="5" t="s">
        <v>36</v>
      </c>
      <c r="E8" s="5" t="s">
        <v>7</v>
      </c>
      <c r="F8" s="4">
        <v>600000</v>
      </c>
    </row>
    <row r="9" spans="1:6" x14ac:dyDescent="0.35">
      <c r="A9" s="4">
        <v>8</v>
      </c>
      <c r="B9" s="5" t="s">
        <v>49</v>
      </c>
      <c r="C9" s="5" t="s">
        <v>44</v>
      </c>
      <c r="D9" s="5" t="s">
        <v>36</v>
      </c>
      <c r="E9" s="5" t="s">
        <v>4</v>
      </c>
      <c r="F9" s="4">
        <v>900000</v>
      </c>
    </row>
    <row r="10" spans="1:6" x14ac:dyDescent="0.35">
      <c r="A10" s="4">
        <v>9</v>
      </c>
      <c r="B10" s="5" t="s">
        <v>50</v>
      </c>
      <c r="C10" s="5" t="s">
        <v>42</v>
      </c>
      <c r="D10" s="5" t="s">
        <v>45</v>
      </c>
      <c r="E10" s="5" t="s">
        <v>4</v>
      </c>
      <c r="F10" s="4">
        <v>300000</v>
      </c>
    </row>
    <row r="11" spans="1:6" x14ac:dyDescent="0.35">
      <c r="A11" s="4">
        <v>10</v>
      </c>
      <c r="B11" s="5" t="s">
        <v>51</v>
      </c>
      <c r="C11" s="5" t="s">
        <v>44</v>
      </c>
      <c r="D11" s="5" t="s">
        <v>36</v>
      </c>
      <c r="E11" s="5" t="s">
        <v>7</v>
      </c>
      <c r="F11" s="4">
        <v>750000</v>
      </c>
    </row>
    <row r="13" spans="1:6" x14ac:dyDescent="0.35">
      <c r="A13" s="27" t="s">
        <v>93</v>
      </c>
      <c r="B13" s="28"/>
      <c r="C13" s="28"/>
      <c r="D13" s="28"/>
      <c r="E13" s="28"/>
      <c r="F13" s="32">
        <f>AVERAGEIFS(Tableau3[Vente],Tableau3[Sexe],"Homme",Tableau3[Service],"Commercial")</f>
        <v>633333.33333333337</v>
      </c>
    </row>
    <row r="14" spans="1:6" x14ac:dyDescent="0.35">
      <c r="A14" s="29" t="s">
        <v>94</v>
      </c>
      <c r="B14" s="30"/>
      <c r="C14" s="30"/>
      <c r="D14" s="30"/>
      <c r="E14" s="31"/>
      <c r="F14" s="33">
        <f>AVERAGEIFS(Tableau3[Vente],Tableau3[Sexe],"Femme",Tableau3[Service],"Finance")</f>
        <v>500000</v>
      </c>
    </row>
    <row r="16" spans="1:6" x14ac:dyDescent="0.35">
      <c r="E16" s="6"/>
    </row>
  </sheetData>
  <mergeCells count="1">
    <mergeCell ref="A14:D14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pane ySplit="1" topLeftCell="A2" activePane="bottomLeft" state="frozen"/>
      <selection pane="bottomLeft" activeCell="D12" sqref="D12"/>
    </sheetView>
  </sheetViews>
  <sheetFormatPr baseColWidth="10" defaultColWidth="8.7265625" defaultRowHeight="14.5" x14ac:dyDescent="0.35"/>
  <cols>
    <col min="1" max="1" width="20" customWidth="1"/>
    <col min="2" max="2" width="42" customWidth="1"/>
  </cols>
  <sheetData>
    <row r="1" spans="1:2" x14ac:dyDescent="0.35">
      <c r="A1" s="1" t="s">
        <v>14</v>
      </c>
      <c r="B1" s="1" t="s">
        <v>15</v>
      </c>
    </row>
    <row r="2" spans="1:2" x14ac:dyDescent="0.35">
      <c r="A2" t="s">
        <v>16</v>
      </c>
      <c r="B2" t="s">
        <v>17</v>
      </c>
    </row>
    <row r="3" spans="1:2" x14ac:dyDescent="0.35">
      <c r="A3" t="s">
        <v>18</v>
      </c>
      <c r="B3" t="s">
        <v>19</v>
      </c>
    </row>
    <row r="4" spans="1:2" x14ac:dyDescent="0.35">
      <c r="A4" t="s">
        <v>20</v>
      </c>
      <c r="B4" t="s">
        <v>21</v>
      </c>
    </row>
    <row r="5" spans="1:2" x14ac:dyDescent="0.35">
      <c r="A5" t="s">
        <v>22</v>
      </c>
      <c r="B5" t="s">
        <v>23</v>
      </c>
    </row>
    <row r="6" spans="1:2" x14ac:dyDescent="0.35">
      <c r="A6" t="s">
        <v>24</v>
      </c>
      <c r="B6" t="s">
        <v>25</v>
      </c>
    </row>
    <row r="7" spans="1:2" x14ac:dyDescent="0.35">
      <c r="A7" t="s">
        <v>26</v>
      </c>
      <c r="B7" t="s">
        <v>27</v>
      </c>
    </row>
    <row r="8" spans="1:2" x14ac:dyDescent="0.35">
      <c r="A8" t="s">
        <v>28</v>
      </c>
      <c r="B8" t="s">
        <v>29</v>
      </c>
    </row>
    <row r="9" spans="1:2" x14ac:dyDescent="0.35">
      <c r="A9" t="s">
        <v>30</v>
      </c>
      <c r="B9" t="s">
        <v>31</v>
      </c>
    </row>
    <row r="10" spans="1:2" x14ac:dyDescent="0.35">
      <c r="A10" t="s">
        <v>32</v>
      </c>
      <c r="B10" t="s">
        <v>33</v>
      </c>
    </row>
    <row r="11" spans="1:2" x14ac:dyDescent="0.35">
      <c r="A11" t="s">
        <v>34</v>
      </c>
      <c r="B1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Nb.si Somme.si &amp; Moyenne.si </vt:lpstr>
      <vt:lpstr>Somme.si</vt:lpstr>
      <vt:lpstr>Nb.si </vt:lpstr>
      <vt:lpstr>Moyenne.si</vt:lpstr>
      <vt:lpstr>Somme.si.ens</vt:lpstr>
      <vt:lpstr>Nb.si.ens</vt:lpstr>
      <vt:lpstr>Moyenne.si.ens</vt:lpstr>
      <vt:lpstr>Mémo fonctions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NANGA ALEXIS CAMARA</cp:lastModifiedBy>
  <dcterms:created xsi:type="dcterms:W3CDTF">2026-09-17T05:34:31Z</dcterms:created>
  <dcterms:modified xsi:type="dcterms:W3CDTF">2026-09-25T20:39:17Z</dcterms:modified>
</cp:coreProperties>
</file>